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Summary" sheetId="2" state="visible" r:id="rId4"/>
    <sheet name="Assumptions" sheetId="3" state="visible" r:id="rId5"/>
    <sheet name="Land Schedule" sheetId="4" state="visible" r:id="rId6"/>
    <sheet name="Sanctuary Capex" sheetId="5" state="visible" r:id="rId7"/>
    <sheet name="32-rai Economics" sheetId="6" state="visible" r:id="rId8"/>
    <sheet name="Sanctuary P&amp;L" sheetId="7" state="visible" r:id="rId9"/>
    <sheet name="Community P&amp;L" sheetId="8" state="visible" r:id="rId10"/>
    <sheet name="Cash Flo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<sst xmlns="http://schemas.openxmlformats.org/spreadsheetml/2006/main" count="306" uniqueCount="208">
  <si>
    <t xml:space="preserve">Angel Arms Horse Sanctuary — Financial Model</t>
  </si>
  <si>
    <t xml:space="preserve">How to use this workbook</t>
  </si>
  <si>
    <t xml:space="preserve">This workbook is the live financial model behind the Angel Arms Horse Sanctuary business plan.</t>
  </si>
  <si>
    <t xml:space="preserve">Change any blue number and every sheet — including the Summary cash-flow chart — recalculates.</t>
  </si>
  <si>
    <t xml:space="preserve">Color legend</t>
  </si>
  <si>
    <t xml:space="preserve">   Blue text = an input you can change (an assumption or a lever to negotiate with partners)</t>
  </si>
  <si>
    <t xml:space="preserve">   Black text = a formula (don't overwrite — it's computed from inputs)</t>
  </si>
  <si>
    <t xml:space="preserve">   Green text = a link pulling a value from another sheet</t>
  </si>
  <si>
    <t xml:space="preserve">   Pale yellow fill = a key assumption worth double-checking before you rely on this model</t>
  </si>
  <si>
    <t xml:space="preserve">Sheet guide</t>
  </si>
  <si>
    <t xml:space="preserve">   Assumptions       — every input driver in one place: land, pricing, horse/visitor volume, costs</t>
  </si>
  <si>
    <t xml:space="preserve">   Land Schedule     — the dated land payment schedule (yours vs. owner-financed pass-through)</t>
  </si>
  <si>
    <t xml:space="preserve">   Sanctuary Capex   — the ~฿ 54.7M sanctuary build cost, itemized</t>
  </si>
  <si>
    <t xml:space="preserve">   32-rai Economics  — the residential development's revenue, costs, and net margin</t>
  </si>
  <si>
    <t xml:space="preserve">   Sanctuary P&amp;L     — 5-year revenue and operating cost for the boarding + therapy business</t>
  </si>
  <si>
    <t xml:space="preserve">   Community P&amp;L     — 5-year revenue and operating cost for the shared amenities</t>
  </si>
  <si>
    <t xml:space="preserve">   Cash Flow         — capital spend + 5-year operating cash flow, combined and cumulative</t>
  </si>
  <si>
    <t xml:space="preserve">   Summary           — the one-page dashboard: key numbers + the cash-flow chart</t>
  </si>
  <si>
    <t xml:space="preserve">All figures are planning-level estimates from the business plan discussion — verify land prices,</t>
  </si>
  <si>
    <t xml:space="preserve">construction quotes, and the partnership contract's exact terms before relying on this for financing.</t>
  </si>
  <si>
    <t xml:space="preserve">Angel Arms Horse Sanctuary — Summary</t>
  </si>
  <si>
    <t xml:space="preserve">Live dashboard — change Assumptions and this page updates</t>
  </si>
  <si>
    <t xml:space="preserve">KEY NUMBERS</t>
  </si>
  <si>
    <t xml:space="preserve">Total land (10 sanctuary + 32 development)</t>
  </si>
  <si>
    <t xml:space="preserve">42 rai</t>
  </si>
  <si>
    <t xml:space="preserve">Your real capital ask (sanctuary)</t>
  </si>
  <si>
    <t xml:space="preserve">Boarding fee</t>
  </si>
  <si>
    <t xml:space="preserve">Sanctuary land (yours)</t>
  </si>
  <si>
    <t xml:space="preserve">32-rai land (owner-financed, not yours)</t>
  </si>
  <si>
    <t xml:space="preserve">32-rai infrastructure — charged to plot-sale proceeds (capped)</t>
  </si>
  <si>
    <t xml:space="preserve">32-rai infrastructure — funded by donations</t>
  </si>
  <si>
    <t xml:space="preserve">32-rai profit transferred to Sanctuary (5-yr total)</t>
  </si>
  <si>
    <t xml:space="preserve">Year 1 combined net</t>
  </si>
  <si>
    <t xml:space="preserve">Year 5 combined net</t>
  </si>
  <si>
    <t xml:space="preserve">Year 5 cumulative cash position</t>
  </si>
  <si>
    <t xml:space="preserve">CASH FLOW</t>
  </si>
  <si>
    <t xml:space="preserve">Period</t>
  </si>
  <si>
    <t xml:space="preserve">Net cash flow</t>
  </si>
  <si>
    <t xml:space="preserve">Cumulative cash position</t>
  </si>
  <si>
    <t xml:space="preserve">This document is a planning tool. All figures are planning-level estimates from the business-plan discussion —</t>
  </si>
  <si>
    <t xml:space="preserve">verify land prices, construction quotes, and the partnership contract's exact terms before committing capital.</t>
  </si>
  <si>
    <t xml:space="preserve">Assumptions</t>
  </si>
  <si>
    <t xml:space="preserve">Every input the model uses — change values here (blue cells)</t>
  </si>
  <si>
    <t xml:space="preserve">LAND</t>
  </si>
  <si>
    <t xml:space="preserve">Sanctuary land total (10 rai)</t>
  </si>
  <si>
    <t xml:space="preserve">Sanctuary land deposit</t>
  </si>
  <si>
    <t xml:space="preserve">Sanctuary land balance (formula)</t>
  </si>
  <si>
    <t xml:space="preserve">Sanctuary deposit date</t>
  </si>
  <si>
    <t xml:space="preserve">Sanctuary balance date</t>
  </si>
  <si>
    <t xml:space="preserve">32-rai land total (owner-financed)</t>
  </si>
  <si>
    <t xml:space="preserve">32-rai installment count</t>
  </si>
  <si>
    <t xml:space="preserve">32-rai installment amount (formula)</t>
  </si>
  <si>
    <t xml:space="preserve">32-rai first installment date</t>
  </si>
  <si>
    <t xml:space="preserve">32-rai installment interval (months)</t>
  </si>
  <si>
    <t xml:space="preserve">SANCTUARY — HORSE &amp; VISITOR VOLUME</t>
  </si>
  <si>
    <t xml:space="preserve">Assumption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</si>
  <si>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</si>
  <si>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</si>
  <si>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</si>
  <si>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</si>
  <si>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</si>
  <si>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Notes</t>
  </si>
  <si>
    <t xml:space="preserve">Horses in residence</t>
  </si>
  <si>
    <t xml:space="preserve">Visitors (tours, per year)</t>
  </si>
  <si>
    <t xml:space="preserve">Children in therapy program (info only)</t>
  </si>
  <si>
    <t xml:space="preserve">SANCTUARY — PRICING</t>
  </si>
  <si>
    <t xml:space="preserve">Boarding fee (THB / horse / month)</t>
  </si>
  <si>
    <t xml:space="preserve">Admission price (THB / visitor)</t>
  </si>
  <si>
    <t xml:space="preserve">Lesson uptake (% of visitors)</t>
  </si>
  <si>
    <t xml:space="preserve">Lesson price (THB / session)</t>
  </si>
  <si>
    <t xml:space="preserve">Feed / routine care cost (THB / horse / month)</t>
  </si>
  <si>
    <t xml:space="preserve">Vet fees are billed directly to the owner — not in this model</t>
  </si>
  <si>
    <t xml:space="preserve">SANCTUARY — DONATIONS, GRANTS, STAFF &amp; OPEX (per year)</t>
  </si>
  <si>
    <t xml:space="preserve">Donations (general)</t>
  </si>
  <si>
    <t xml:space="preserve">Therapy program CSR / grants</t>
  </si>
  <si>
    <t xml:space="preserve">Sanctuary staff cost</t>
  </si>
  <si>
    <t xml:space="preserve">Therapy program staff / equipment</t>
  </si>
  <si>
    <t xml:space="preserve">Utilities / maintenance</t>
  </si>
  <si>
    <t xml:space="preserve">Admin / overhead</t>
  </si>
  <si>
    <t xml:space="preserve">COMMUNITY — UNITS, RATES &amp; OCCUPANCY</t>
  </si>
  <si>
    <t xml:space="preserve">Glamping units (count)</t>
  </si>
  <si>
    <t xml:space="preserve">Glamping nightly rate (THB)</t>
  </si>
  <si>
    <t xml:space="preserve">Glamping occupancy %</t>
  </si>
  <si>
    <t xml:space="preserve">EV sites (count)</t>
  </si>
  <si>
    <t xml:space="preserve">EV nightly rate (THB)</t>
  </si>
  <si>
    <t xml:space="preserve">EV occupancy %</t>
  </si>
  <si>
    <t xml:space="preserve">Floating villa units (count)</t>
  </si>
  <si>
    <t xml:space="preserve">Villa nightly rate (THB)</t>
  </si>
  <si>
    <t xml:space="preserve">Villa occupancy %</t>
  </si>
  <si>
    <t xml:space="preserve">COMMUNITY — OTHER REVENUE &amp; COSTS (per year)</t>
  </si>
  <si>
    <t xml:space="preserve">Plots sold (cumulative)</t>
  </si>
  <si>
    <t xml:space="preserve">Café spend per visitor (THB)</t>
  </si>
  <si>
    <t xml:space="preserve">Café spend per plot / year (THB)</t>
  </si>
  <si>
    <t xml:space="preserve">HOA fee per plot / year (THB)</t>
  </si>
  <si>
    <t xml:space="preserve">Community staff cost</t>
  </si>
  <si>
    <t xml:space="preserve">Community upkeep cost</t>
  </si>
  <si>
    <t xml:space="preserve">32-RAI DEVELOPMENT ECONOMICS</t>
  </si>
  <si>
    <t xml:space="preserve">Total rai</t>
  </si>
  <si>
    <t xml:space="preserve">Communal rai (not sold)</t>
  </si>
  <si>
    <t xml:space="preserve">Sellable rai (formula)</t>
  </si>
  <si>
    <t xml:space="preserve">Price per rai (THB)</t>
  </si>
  <si>
    <t xml:space="preserve">Internal estate roads</t>
  </si>
  <si>
    <t xml:space="preserve">Utilities extension</t>
  </si>
  <si>
    <t xml:space="preserve">Communal clubhouse / café</t>
  </si>
  <si>
    <t xml:space="preserve">Shared glamping capex</t>
  </si>
  <si>
    <t xml:space="preserve">Shared EV camping capex</t>
  </si>
  <si>
    <t xml:space="preserve">Floating villa capex</t>
  </si>
  <si>
    <t xml:space="preserve">Subdivision survey / title-splitting</t>
  </si>
  <si>
    <t xml:space="preserve">Agent fee on plot sale (% of sale revenue)</t>
  </si>
  <si>
    <t xml:space="preserve">Transfer fee (% of sale revenue, seller share)</t>
  </si>
  <si>
    <t xml:space="preserve">Specific Business Tax — SBT (% of sale revenue, est.)</t>
  </si>
  <si>
    <t xml:space="preserve">Infrastructure charged to plot-sale proceeds (cap, THB)</t>
  </si>
  <si>
    <t xml:space="preserve">Cost above this cap is assumed donation-funded, not deducted from plot-sale profit</t>
  </si>
  <si>
    <t xml:space="preserve">SANCTUARY CAPEX (10 rai)</t>
  </si>
  <si>
    <t xml:space="preserve">Main stable barn (22 stalls)</t>
  </si>
  <si>
    <t xml:space="preserve">Covered riding / therapy arena</t>
  </si>
  <si>
    <t xml:space="preserve">Quarantine &amp; veterinary clinic (building)</t>
  </si>
  <si>
    <t xml:space="preserve">Site prep &amp; infrastructure</t>
  </si>
  <si>
    <t xml:space="preserve">Admin / reception / therapy office</t>
  </si>
  <si>
    <t xml:space="preserve">Equipment &amp; vehicles</t>
  </si>
  <si>
    <t xml:space="preserve">Perimeter &amp; paddock fencing</t>
  </si>
  <si>
    <t xml:space="preserve">Contingency + legal</t>
  </si>
  <si>
    <t xml:space="preserve">Multi-terrain pasture establishment</t>
  </si>
  <si>
    <t xml:space="preserve">Working capital reserve</t>
  </si>
  <si>
    <t xml:space="preserve">Staff housing</t>
  </si>
  <si>
    <t xml:space="preserve">Initial stable fit-out &amp; onboarding</t>
  </si>
  <si>
    <t xml:space="preserve">Land Payment Schedule</t>
  </si>
  <si>
    <t xml:space="preserve">Total ฿ 96.6M — only the sanctuary line (~฿ 23M) is your own capital</t>
  </si>
  <si>
    <t xml:space="preserve">Date</t>
  </si>
  <si>
    <t xml:space="preserve">Payment</t>
  </si>
  <si>
    <t xml:space="preserve">Amount (THB)</t>
  </si>
  <si>
    <t xml:space="preserve">Who funds it</t>
  </si>
  <si>
    <t xml:space="preserve">Sanctuary land deposit (10 rai)</t>
  </si>
  <si>
    <t xml:space="preserve">You</t>
  </si>
  <si>
    <t xml:space="preserve">Sanctuary land balance (10 rai)</t>
  </si>
  <si>
    <t xml:space="preserve">32-rai installment 1/6</t>
  </si>
  <si>
    <t xml:space="preserve">Pass-through</t>
  </si>
  <si>
    <t xml:space="preserve">32-rai installment 2/6</t>
  </si>
  <si>
    <t xml:space="preserve">32-rai installment 3/6</t>
  </si>
  <si>
    <t xml:space="preserve">32-rai installment 4/6</t>
  </si>
  <si>
    <t xml:space="preserve">32-rai installment 5/6</t>
  </si>
  <si>
    <t xml:space="preserve">32-rai installment 6/6</t>
  </si>
  <si>
    <t xml:space="preserve">TOTAL (all payments)</t>
  </si>
  <si>
    <t xml:space="preserve">  of which YOURS</t>
  </si>
  <si>
    <t xml:space="preserve">  of which PASS-THROUGH (owner-financed)</t>
  </si>
  <si>
    <t xml:space="preserve">The 32-rai schedule is a pass-through: the owner transfers each plot's deed once buyer payments satisfy that milestone. Get shortfall terms in writing.</t>
  </si>
  <si>
    <t xml:space="preserve">Sanctuary Capital Requirement (10 rai)</t>
  </si>
  <si>
    <t xml:space="preserve">The real capital ask — land + construction/fit-out</t>
  </si>
  <si>
    <t xml:space="preserve">Item</t>
  </si>
  <si>
    <t xml:space="preserve">% of total</t>
  </si>
  <si>
    <t xml:space="preserve">Land (10 rai)</t>
  </si>
  <si>
    <t xml:space="preserve">TOTAL SANCTUARY CAPITAL</t>
  </si>
  <si>
    <t xml:space="preserve">  of which is land</t>
  </si>
  <si>
    <t xml:space="preserve">  of which is construction / fit-out</t>
  </si>
  <si>
    <t xml:space="preserve">32-rai Development Economics</t>
  </si>
  <si>
    <t xml:space="preserve">Owner-financed land — your exposure is the infrastructure spend</t>
  </si>
  <si>
    <t xml:space="preserve">Line item</t>
  </si>
  <si>
    <t xml:space="preserve">Who bears it</t>
  </si>
  <si>
    <t xml:space="preserve">Sellable rai (32 - communal)</t>
  </si>
  <si>
    <t xml:space="preserve">Sale revenue (sellable rai × price/rai)</t>
  </si>
  <si>
    <t xml:space="preserve">You collect from buyers</t>
  </si>
  <si>
    <t xml:space="preserve">Owner's land share (pass-through)</t>
  </si>
  <si>
    <t xml:space="preserve">Pass-through, not your cost</t>
  </si>
  <si>
    <t xml:space="preserve">YOUR GROSS MARGIN</t>
  </si>
  <si>
    <t xml:space="preserve">Your capital</t>
  </si>
  <si>
    <t xml:space="preserve">Utilities extension to plots</t>
  </si>
  <si>
    <t xml:space="preserve">Flood-proof floating villa capex</t>
  </si>
  <si>
    <t xml:space="preserve">Subtotal infrastructure (full cost)</t>
  </si>
  <si>
    <t xml:space="preserve">  of which charged to plot-sale proceeds (capped)</t>
  </si>
  <si>
    <t xml:space="preserve">  of which funded by donations (external)</t>
  </si>
  <si>
    <t xml:space="preserve">Agent fee (on sale)</t>
  </si>
  <si>
    <t xml:space="preserve">Deducted from proceeds</t>
  </si>
  <si>
    <t xml:space="preserve">Transfer fee + Specific Business Tax (est.)</t>
  </si>
  <si>
    <t xml:space="preserve">NET MARGIN (after agent fee)</t>
  </si>
  <si>
    <t xml:space="preserve">  → transferred to the Sanctuary as revenue (see Sanctuary P&amp;L)</t>
  </si>
  <si>
    <t xml:space="preserve">Infrastructure cost above the cap is assumed donation-funded rather than deducted from plot-sale proceeds — confirm that donor commitment is real before relying on this margin. Your capital exposure here is just the capped amount, ideally funded from buyer deposits.</t>
  </si>
  <si>
    <t xml:space="preserve">Sanctuary 5-Year Operating Plan</t>
  </si>
  <si>
    <t xml:space="preserve">Retirement boarding + therapy — a real paying business</t>
  </si>
  <si>
    <t xml:space="preserve">REVENUE</t>
  </si>
  <si>
    <t xml:space="preserve">Boarding fees (horses × ฿ /mo × 12)</t>
  </si>
  <si>
    <t xml:space="preserve">Admissions / tours</t>
  </si>
  <si>
    <t xml:space="preserve">Riding lessons</t>
  </si>
  <si>
    <t xml:space="preserve">32-rai development profit share (net of agent fee)</t>
  </si>
  <si>
    <t xml:space="preserve">Net margin from '32-rai Economics', prorated by plots sold that year — floored at ฿0 if the development runs a loss</t>
  </si>
  <si>
    <t xml:space="preserve">TOTAL REVENUE</t>
  </si>
  <si>
    <t xml:space="preserve">OPERATING COST</t>
  </si>
  <si>
    <t xml:space="preserve">Sanctuary staff</t>
  </si>
  <si>
    <t xml:space="preserve">Feed / routine care (horses × ฿ /mo × 12)</t>
  </si>
  <si>
    <t xml:space="preserve">TOTAL OPERATING COST</t>
  </si>
  <si>
    <t xml:space="preserve">SANCTUARY NET</t>
  </si>
  <si>
    <t xml:space="preserve">Vet fees are billed and paid directly by the horse owner — not included here as Foundation revenue or cost.</t>
  </si>
  <si>
    <t xml:space="preserve">Community Amenities 5-Year Operating Plan</t>
  </si>
  <si>
    <t xml:space="preserve">Café, glamping, EV camping, floating villa, HOA fees</t>
  </si>
  <si>
    <t xml:space="preserve">Shared glamping (units × occ × rate × 365)</t>
  </si>
  <si>
    <t xml:space="preserve">Shared EV camping (sites × occ × rate × 365)</t>
  </si>
  <si>
    <t xml:space="preserve">Floating villa (units × occ × rate × 365)</t>
  </si>
  <si>
    <t xml:space="preserve">Café (visitors × spend + plots × spend)</t>
  </si>
  <si>
    <t xml:space="preserve">HOA / common-area fee (plots sold × fee)</t>
  </si>
  <si>
    <t xml:space="preserve">Community staff / hospitality</t>
  </si>
  <si>
    <t xml:space="preserve">Community upkeep</t>
  </si>
  <si>
    <t xml:space="preserve">COMMUNITY NET</t>
  </si>
  <si>
    <t xml:space="preserve">Combined Cash Flow</t>
  </si>
  <si>
    <t xml:space="preserve">Capital (Year 0) + 5-year operating cash flow — your money only</t>
  </si>
  <si>
    <t xml:space="preserve">Year 0 (capital)</t>
  </si>
  <si>
    <t xml:space="preserve">Capital spend (sanctuary land + construction)</t>
  </si>
  <si>
    <t xml:space="preserve">Operating net (sanctuary + community)</t>
  </si>
  <si>
    <t xml:space="preserve">Note: the 32-rai land (฿ 73.6M) is owner-financed against plot-sale proceeds and is deliberately excluded from</t>
  </si>
  <si>
    <t xml:space="preserve">this cash flow — see the Land Schedule sheet for the full dated schedule including that pass-through portion.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</si>
</sst>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฿#,##0;&quot;(฿&quot;#,##0\);\-"/>
    <numFmt numFmtId="166" formatCode="dd\-mmm\-yy"/>
    <numFmt numFmtId="167" formatCode="#,##0;\(#,##0\);\-"/>
    <numFmt numFmtId="168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3226"/>
      <name val="Arial"/>
      <family val="0"/>
      <charset val="1"/>
    </font>
    <font>
      <i val="true"/>
      <sz val="11"/>
      <color rgb="FF6B6B63"/>
      <name val="Arial"/>
      <family val="0"/>
      <charset val="1"/>
    </font>
    <font>
      <sz val="10"/>
      <color rgb="FF22281F"/>
      <name val="Arial"/>
      <family val="0"/>
      <charset val="1"/>
    </font>
    <font>
      <b val="true"/>
      <sz val="10"/>
      <color rgb="FF22281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6B6B6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b val="true"/>
      <sz val="10"/>
      <color rgb="FF2F6B45"/>
      <name val="Arial"/>
      <family val="0"/>
      <charset val="1"/>
    </font>
    <font>
      <sz val="10"/>
      <color rgb="FF6B6B63"/>
      <name val="Arial"/>
      <family val="0"/>
      <charset val="1"/>
    </font>
    <font>
      <b val="true"/>
      <sz val="10.5"/>
      <color rgb="FF22281F"/>
      <name val="Arial"/>
      <family val="0"/>
      <charset val="1"/>
    </font>
    <font>
      <i val="true"/>
      <sz val="9.5"/>
      <color rgb="FF6B6B63"/>
      <name val="Arial"/>
      <family val="0"/>
      <charset val="1"/>
    </font>
    <font>
      <i val="true"/>
      <sz val="9.5"/>
      <color rgb="FF8B5A2B"/>
      <name val="Arial"/>
      <family val="0"/>
      <charset val="1"/>
    </font>
    <font>
      <i val="true"/>
      <sz val="9.5"/>
      <color rgb="FF2F6B45"/>
      <name val="Arial"/>
      <family val="0"/>
      <charset val="1"/>
    </font>
    <font>
      <b val="true"/>
      <i val="true"/>
      <sz val="9.5"/>
      <color rgb="FF2F6B4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6B45"/>
        <bgColor rgb="FF6B6B63"/>
      </patternFill>
    </fill>
    <fill>
      <patternFill patternType="solid">
        <fgColor rgb="FFFFFDE7"/>
        <bgColor rgb="FFF9F9F9"/>
      </patternFill>
    </fill>
    <fill>
      <patternFill patternType="solid">
        <fgColor rgb="FF8B5A2B"/>
        <bgColor rgb="FF6B6B63"/>
      </patternFill>
    </fill>
    <fill>
      <patternFill patternType="solid">
        <fgColor rgb="FFDCE6DA"/>
        <bgColor rgb="FFD9D9D9"/>
      </patternFill>
    </fill>
    <fill>
      <patternFill patternType="solid">
        <fgColor rgb="FFEFE3D3"/>
        <bgColor rgb="FFDCE6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i val="1"/>
        <color rgb="FFC24A78"/>
        <sz val="9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A2B"/>
      <rgbColor rgb="FF800080"/>
      <rgbColor rgb="FF2F6B45"/>
      <rgbColor rgb="FFC9BB93"/>
      <rgbColor rgb="FF878787"/>
      <rgbColor rgb="FF9999FF"/>
      <rgbColor rgb="FFC24A78"/>
      <rgbColor rgb="FFFFFDE7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DA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FF9900"/>
      <rgbColor rgb="FFFF6600"/>
      <rgbColor rgb="FF6B6B63"/>
      <rgbColor rgb="FF969696"/>
      <rgbColor rgb="FF003366"/>
      <rgbColor rgb="FF339966"/>
      <rgbColor rgb="FF003300"/>
      <rgbColor rgb="FF22281F"/>
      <rgbColor rgb="FF993300"/>
      <rgbColor rgb="FF993366"/>
      <rgbColor rgb="FF333399"/>
      <rgbColor rgb="FF1B32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position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9bb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Summary!$C$20:$H$20</c:f>
              <c:strCache>
                <c:ptCount val="6"/>
                <c:pt idx="0">
                  <c:v>Year 0 (capital)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Summary!$C$21:$H$21</c:f>
              <c:numCache>
                <c:formatCode>\฿#,##0;"(฿"#,##0\);\-</c:formatCode>
                <c:ptCount val="6"/>
                <c:pt idx="0">
                  <c:v>-54700000</c:v>
                </c:pt>
                <c:pt idx="1">
                  <c:v>3758612.5</c:v>
                </c:pt>
                <c:pt idx="2">
                  <c:v>5022583.75</c:v>
                </c:pt>
                <c:pt idx="3">
                  <c:v>6568343.75</c:v>
                </c:pt>
                <c:pt idx="4">
                  <c:v>4902400</c:v>
                </c:pt>
                <c:pt idx="5">
                  <c:v>5601360</c:v>
                </c:pt>
              </c:numCache>
            </c:numRef>
          </c:val>
        </c:ser>
        <c:gapWidth val="150"/>
        <c:overlap val="0"/>
        <c:axId val="32878716"/>
        <c:axId val="56302612"/>
      </c:barChart>
      <c:lineChart>
        <c:grouping val="standard"/>
        <c:varyColors val="0"/>
        <c:ser>
          <c:idx val="1"/>
          <c:order val="1"/>
          <c:spPr>
            <a:solidFill>
              <a:srgbClr val="2f6b45"/>
            </a:solidFill>
            <a:ln w="32040">
              <a:solidFill>
                <a:srgbClr val="2f6b45"/>
              </a:solidFill>
              <a:round/>
            </a:ln>
          </c:spPr>
          <c:marker>
            <c:symbol val="circle"/>
            <c:size val="5"/>
            <c:spPr>
              <a:solidFill>
                <a:srgbClr val="2f6b4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Summary!$C$20:$H$20</c:f>
              <c:strCache>
                <c:ptCount val="6"/>
                <c:pt idx="0">
                  <c:v>Year 0 (capital)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Summary!$C$22:$H$22</c:f>
              <c:numCache>
                <c:formatCode>\฿#,##0;"(฿"#,##0\);\-</c:formatCode>
                <c:ptCount val="6"/>
                <c:pt idx="0">
                  <c:v>-54700000</c:v>
                </c:pt>
                <c:pt idx="1">
                  <c:v>-50941387.5</c:v>
                </c:pt>
                <c:pt idx="2">
                  <c:v>-45918803.75</c:v>
                </c:pt>
                <c:pt idx="3">
                  <c:v>-39350460</c:v>
                </c:pt>
                <c:pt idx="4">
                  <c:v>-34448060</c:v>
                </c:pt>
                <c:pt idx="5">
                  <c:v>-28846700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2878716"/>
        <c:axId val="56302612"/>
      </c:lineChart>
      <c:catAx>
        <c:axId val="328787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02612"/>
        <c:crosses val="autoZero"/>
        <c:auto val="1"/>
        <c:lblAlgn val="ctr"/>
        <c:lblOffset val="100"/>
        <c:noMultiLvlLbl val="0"/>
      </c:catAx>
      <c:valAx>
        <c:axId val="563026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฿#,##0;&quot;(฿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787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Sanctuary capital by item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6b4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'Sanctuary Capex'!$B$6:$B$18</c:f>
              <c:strCache>
                <c:ptCount val="13"/>
                <c:pt idx="0">
                  <c:v>Land (10 rai)</c:v>
                </c:pt>
                <c:pt idx="1">
                  <c:v>Main stable barn (22 stalls)</c:v>
                </c:pt>
                <c:pt idx="2">
                  <c:v>Covered riding / therapy arena</c:v>
                </c:pt>
                <c:pt idx="3">
                  <c:v>Quarantine &amp; veterinary clinic (building)</c:v>
                </c:pt>
                <c:pt idx="4">
                  <c:v>Site prep &amp; infrastructure</c:v>
                </c:pt>
                <c:pt idx="5">
                  <c:v>Admin / reception / therapy office</c:v>
                </c:pt>
                <c:pt idx="6">
                  <c:v>Equipment &amp; vehicles</c:v>
                </c:pt>
                <c:pt idx="7">
                  <c:v>Perimeter &amp; paddock fencing</c:v>
                </c:pt>
                <c:pt idx="8">
                  <c:v>Contingency + legal</c:v>
                </c:pt>
                <c:pt idx="9">
                  <c:v>Multi-terrain pasture establishment</c:v>
                </c:pt>
                <c:pt idx="10">
                  <c:v>Working capital reserve</c:v>
                </c:pt>
                <c:pt idx="11">
                  <c:v>Staff housing</c:v>
                </c:pt>
                <c:pt idx="12">
                  <c:v>Initial stable fit-out &amp; onboarding</c:v>
                </c:pt>
              </c:strCache>
            </c:strRef>
          </c:cat>
          <c:val>
            <c:numRef>
              <c:f>'Sanctuary Capex'!$C$6:$C$18</c:f>
              <c:numCache>
                <c:formatCode>\฿#,##0;"(฿"#,##0\);\-</c:formatCode>
                <c:ptCount val="13"/>
                <c:pt idx="0">
                  <c:v>23000000</c:v>
                </c:pt>
                <c:pt idx="1">
                  <c:v>13000000</c:v>
                </c:pt>
                <c:pt idx="2">
                  <c:v>4500000</c:v>
                </c:pt>
                <c:pt idx="3">
                  <c:v>2900000</c:v>
                </c:pt>
                <c:pt idx="4">
                  <c:v>2500000</c:v>
                </c:pt>
                <c:pt idx="5">
                  <c:v>1800000</c:v>
                </c:pt>
                <c:pt idx="6">
                  <c:v>1500000</c:v>
                </c:pt>
                <c:pt idx="7">
                  <c:v>1500000</c:v>
                </c:pt>
                <c:pt idx="8">
                  <c:v>1200000</c:v>
                </c:pt>
                <c:pt idx="9">
                  <c:v>900000</c:v>
                </c:pt>
                <c:pt idx="10">
                  <c:v>800000</c:v>
                </c:pt>
                <c:pt idx="11">
                  <c:v>600000</c:v>
                </c:pt>
                <c:pt idx="12">
                  <c:v>500000</c:v>
                </c:pt>
              </c:numCache>
            </c:numRef>
          </c:val>
        </c:ser>
        <c:gapWidth val="150"/>
        <c:overlap val="0"/>
        <c:axId val="50198525"/>
        <c:axId val="10841163"/>
      </c:barChart>
      <c:catAx>
        <c:axId val="501985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41163"/>
        <c:crosses val="autoZero"/>
        <c:auto val="1"/>
        <c:lblAlgn val="ctr"/>
        <c:lblOffset val="100"/>
        <c:noMultiLvlLbl val="0"/>
      </c:catAx>
      <c:valAx>
        <c:axId val="108411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฿#,##0;&quot;(฿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985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Sanctuary net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c24a78"/>
            </a:solidFill>
            <a:ln w="24840">
              <a:solidFill>
                <a:srgbClr val="c24a78"/>
              </a:solidFill>
              <a:round/>
            </a:ln>
          </c:spPr>
          <c:marker>
            <c:symbol val="circle"/>
            <c:size val="5"/>
            <c:spPr>
              <a:solidFill>
                <a:srgbClr val="c24a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'Sanctuary P&amp;L'!$C$5:$G$5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'Sanctuary P&amp;L'!$C$23:$G$23</c:f>
              <c:numCache>
                <c:formatCode>\฿#,##0;"(฿"#,##0\);\-</c:formatCode>
                <c:ptCount val="5"/>
                <c:pt idx="0">
                  <c:v>3736812.5</c:v>
                </c:pt>
                <c:pt idx="1">
                  <c:v>4539343.75</c:v>
                </c:pt>
                <c:pt idx="2">
                  <c:v>5665343.75</c:v>
                </c:pt>
                <c:pt idx="3">
                  <c:v>3812000</c:v>
                </c:pt>
                <c:pt idx="4">
                  <c:v>4470000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3158731"/>
        <c:axId val="41245951"/>
      </c:lineChart>
      <c:catAx>
        <c:axId val="631587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45951"/>
        <c:crosses val="autoZero"/>
        <c:auto val="1"/>
        <c:lblAlgn val="ctr"/>
        <c:lblOffset val="100"/>
        <c:noMultiLvlLbl val="0"/>
      </c:catAx>
      <c:valAx>
        <c:axId val="41245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฿#,##0;&quot;(฿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587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flow: net (bars) and cumulative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b5a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Flow'!$C$5:$H$5</c:f>
              <c:strCache>
                <c:ptCount val="6"/>
                <c:pt idx="0">
                  <c:v>Year 0 (capital)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'Cash Flow'!$C$8:$H$8</c:f>
              <c:numCache>
                <c:formatCode>\฿#,##0;"(฿"#,##0\);\-</c:formatCode>
                <c:ptCount val="6"/>
                <c:pt idx="0">
                  <c:v>-54700000</c:v>
                </c:pt>
                <c:pt idx="1">
                  <c:v>3758612.5</c:v>
                </c:pt>
                <c:pt idx="2">
                  <c:v>5022583.75</c:v>
                </c:pt>
                <c:pt idx="3">
                  <c:v>6568343.75</c:v>
                </c:pt>
                <c:pt idx="4">
                  <c:v>4902400</c:v>
                </c:pt>
                <c:pt idx="5">
                  <c:v>5601360</c:v>
                </c:pt>
              </c:numCache>
            </c:numRef>
          </c:val>
        </c:ser>
        <c:gapWidth val="150"/>
        <c:overlap val="0"/>
        <c:axId val="47119816"/>
        <c:axId val="80589935"/>
      </c:barChart>
      <c:lineChart>
        <c:grouping val="standard"/>
        <c:varyColors val="0"/>
        <c:ser>
          <c:idx val="1"/>
          <c:order val="1"/>
          <c:spPr>
            <a:solidFill>
              <a:srgbClr val="2f6b45"/>
            </a:solidFill>
            <a:ln w="28080">
              <a:solidFill>
                <a:srgbClr val="2f6b45"/>
              </a:solidFill>
              <a:round/>
            </a:ln>
          </c:spPr>
          <c:marker>
            <c:symbol val="circle"/>
            <c:size val="5"/>
            <c:spPr>
              <a:solidFill>
                <a:srgbClr val="2f6b4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Flow'!$C$5:$H$5</c:f>
              <c:strCache>
                <c:ptCount val="6"/>
                <c:pt idx="0">
                  <c:v>Year 0 (capital)</c:v>
                </c:pt>
                <c:pt idx="1">
                  <c:v>Year 1</c:v>
                </c:pt>
                <c:pt idx="2">
                  <c:v>Year 2</c:v>
                </c:pt>
                <c:pt idx="3">
                  <c:v>Year 3</c:v>
                </c:pt>
                <c:pt idx="4">
                  <c:v>Year 4</c:v>
                </c:pt>
                <c:pt idx="5">
                  <c:v>Year 5</c:v>
                </c:pt>
              </c:strCache>
            </c:strRef>
          </c:cat>
          <c:val>
            <c:numRef>
              <c:f>'Cash Flow'!$C$9:$H$9</c:f>
              <c:numCache>
                <c:formatCode>\฿#,##0;"(฿"#,##0\);\-</c:formatCode>
                <c:ptCount val="6"/>
                <c:pt idx="0">
                  <c:v>-54700000</c:v>
                </c:pt>
                <c:pt idx="1">
                  <c:v>-50941387.5</c:v>
                </c:pt>
                <c:pt idx="2">
                  <c:v>-45918803.75</c:v>
                </c:pt>
                <c:pt idx="3">
                  <c:v>-39350460</c:v>
                </c:pt>
                <c:pt idx="4">
                  <c:v>-34448060</c:v>
                </c:pt>
                <c:pt idx="5">
                  <c:v>-28846700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7119816"/>
        <c:axId val="80589935"/>
      </c:lineChart>
      <c:catAx>
        <c:axId val="4711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589935"/>
        <c:crosses val="autoZero"/>
        <c:auto val="1"/>
        <c:lblAlgn val="ctr"/>
        <c:lblOffset val="100"/>
        <c:noMultiLvlLbl val="0"/>
      </c:catAx>
      <c:valAx>
        <c:axId val="80589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฿#,##0;&quot;(฿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1198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100800</xdr:rowOff>
    </xdr:from>
    <xdr:to>
      <xdr:col>6</xdr:col>
      <xdr:colOff>638640</xdr:colOff>
      <xdr:row>41</xdr:row>
      <xdr:rowOff>81000</xdr:rowOff>
    </xdr:to>
    <xdr:graphicFrame>
      <xdr:nvGraphicFramePr>
        <xdr:cNvPr id="0" name="Chart 1"/>
        <xdr:cNvGraphicFramePr/>
      </xdr:nvGraphicFramePr>
      <xdr:xfrm>
        <a:off x="222120" y="43434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100800</xdr:rowOff>
    </xdr:from>
    <xdr:to>
      <xdr:col>10</xdr:col>
      <xdr:colOff>694440</xdr:colOff>
      <xdr:row>21</xdr:row>
      <xdr:rowOff>101880</xdr:rowOff>
    </xdr:to>
    <xdr:graphicFrame>
      <xdr:nvGraphicFramePr>
        <xdr:cNvPr id="1" name="Chart 1"/>
        <xdr:cNvGraphicFramePr/>
      </xdr:nvGraphicFramePr>
      <xdr:xfrm>
        <a:off x="8045280" y="8380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263160</xdr:rowOff>
    </xdr:from>
    <xdr:to>
      <xdr:col>3</xdr:col>
      <xdr:colOff>781200</xdr:colOff>
      <xdr:row>37</xdr:row>
      <xdr:rowOff>144360</xdr:rowOff>
    </xdr:to>
    <xdr:graphicFrame>
      <xdr:nvGraphicFramePr>
        <xdr:cNvPr id="2" name="Chart 1"/>
        <xdr:cNvGraphicFramePr/>
      </xdr:nvGraphicFramePr>
      <xdr:xfrm>
        <a:off x="222120" y="48960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100800</xdr:rowOff>
    </xdr:from>
    <xdr:to>
      <xdr:col>5</xdr:col>
      <xdr:colOff>709920</xdr:colOff>
      <xdr:row>32</xdr:row>
      <xdr:rowOff>91440</xdr:rowOff>
    </xdr:to>
    <xdr:graphicFrame>
      <xdr:nvGraphicFramePr>
        <xdr:cNvPr id="3" name="Chart 1"/>
        <xdr:cNvGraphicFramePr/>
      </xdr:nvGraphicFramePr>
      <xdr:xfrm>
        <a:off x="222120" y="2743200"/>
        <a:ext cx="71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0"/>
    <col collapsed="false" customWidth="true" hidden="false" outlineLevel="0" max="8" min="3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9" customFormat="false" ht="15" hidden="false" customHeight="false" outlineLevel="0" collapsed="false">
      <c r="B9" s="4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5" customFormat="false" ht="15" hidden="false" customHeight="false" outlineLevel="0" collapsed="false">
      <c r="B15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 t="s">
        <v>14</v>
      </c>
    </row>
    <row r="21" customFormat="false" ht="15" hidden="false" customHeight="false" outlineLevel="0" collapsed="false">
      <c r="B21" s="3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5" customFormat="false" ht="15" hidden="false" customHeight="false" outlineLevel="0" collapsed="false">
      <c r="B25" s="3" t="s">
        <v>18</v>
      </c>
    </row>
    <row r="26" customFormat="false" ht="15" hidden="false" customHeight="false" outlineLevel="0" collapsed="false">
      <c r="B26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30"/>
    <col collapsed="false" customWidth="true" hidden="false" outlineLevel="0" max="8" min="3" style="0" width="15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20</v>
      </c>
    </row>
    <row r="3" customFormat="false" ht="15" hidden="false" customHeight="false" outlineLevel="0" collapsed="false">
      <c r="B3" s="2" t="s">
        <v>21</v>
      </c>
    </row>
    <row r="6" customFormat="false" ht="18" hidden="false" customHeight="true" outlineLevel="0" collapsed="false">
      <c r="B6" s="5" t="s">
        <v>22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B7" s="6" t="s">
        <v>23</v>
      </c>
      <c r="C7" s="7" t="s">
        <v>24</v>
      </c>
    </row>
    <row r="8" customFormat="false" ht="15" hidden="false" customHeight="false" outlineLevel="0" collapsed="false">
      <c r="B8" s="6" t="s">
        <v>25</v>
      </c>
      <c r="C8" s="8" t="n">
        <f aca="false">'Sanctuary Capex'!C19</f>
        <v>54700000</v>
      </c>
    </row>
    <row r="9" customFormat="false" ht="15" hidden="false" customHeight="false" outlineLevel="0" collapsed="false">
      <c r="B9" s="6" t="s">
        <v>26</v>
      </c>
      <c r="C9" s="8" t="n">
        <f aca="false">Assumptions!$C$24</f>
        <v>15000</v>
      </c>
    </row>
    <row r="10" customFormat="false" ht="15" hidden="false" customHeight="false" outlineLevel="0" collapsed="false">
      <c r="B10" s="6" t="s">
        <v>27</v>
      </c>
      <c r="C10" s="8" t="n">
        <f aca="false">Assumptions!$C$6</f>
        <v>23000000</v>
      </c>
    </row>
    <row r="11" customFormat="false" ht="15" hidden="false" customHeight="false" outlineLevel="0" collapsed="false">
      <c r="B11" s="6" t="s">
        <v>28</v>
      </c>
      <c r="C11" s="8" t="n">
        <f aca="false">Assumptions!$C$11</f>
        <v>73600000</v>
      </c>
    </row>
    <row r="12" customFormat="false" ht="15" hidden="false" customHeight="false" outlineLevel="0" collapsed="false">
      <c r="B12" s="6" t="s">
        <v>29</v>
      </c>
      <c r="C12" s="8" t="n">
        <f aca="false">'32-rai Economics'!C19</f>
        <v>-3000000</v>
      </c>
    </row>
    <row r="13" customFormat="false" ht="15" hidden="false" customHeight="false" outlineLevel="0" collapsed="false">
      <c r="B13" s="6" t="s">
        <v>30</v>
      </c>
      <c r="C13" s="8" t="n">
        <f aca="false">'32-rai Economics'!C20</f>
        <v>10800000</v>
      </c>
    </row>
    <row r="14" customFormat="false" ht="15" hidden="false" customHeight="false" outlineLevel="0" collapsed="false">
      <c r="B14" s="6" t="s">
        <v>31</v>
      </c>
      <c r="C14" s="8" t="n">
        <f aca="false">SUM('Sanctuary P&amp;L'!C12:G12)</f>
        <v>9111500</v>
      </c>
    </row>
    <row r="15" customFormat="false" ht="15" hidden="false" customHeight="false" outlineLevel="0" collapsed="false">
      <c r="B15" s="6" t="s">
        <v>32</v>
      </c>
      <c r="C15" s="8" t="n">
        <f aca="false">'Cash Flow'!D8</f>
        <v>3758612.5</v>
      </c>
    </row>
    <row r="16" customFormat="false" ht="15" hidden="false" customHeight="false" outlineLevel="0" collapsed="false">
      <c r="B16" s="6" t="s">
        <v>33</v>
      </c>
      <c r="C16" s="8" t="n">
        <f aca="false">'Cash Flow'!H8</f>
        <v>5601360</v>
      </c>
    </row>
    <row r="17" customFormat="false" ht="15" hidden="false" customHeight="false" outlineLevel="0" collapsed="false">
      <c r="B17" s="6" t="s">
        <v>34</v>
      </c>
      <c r="C17" s="8" t="n">
        <f aca="false">'Cash Flow'!H9</f>
        <v>-28846700</v>
      </c>
    </row>
    <row r="19" customFormat="false" ht="18" hidden="false" customHeight="true" outlineLevel="0" collapsed="false">
      <c r="B19" s="5" t="s">
        <v>35</v>
      </c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B20" s="9" t="s">
        <v>36</v>
      </c>
      <c r="C20" s="10" t="str">
        <f aca="false">'Cash Flow'!C5</f>
        <v>Year 0 (capital)</v>
      </c>
      <c r="D20" s="10" t="str">
        <f aca="false">'Cash Flow'!D5</f>
        <v>Year 1</v>
      </c>
      <c r="E20" s="10" t="str">
        <f aca="false">'Cash Flow'!E5</f>
        <v>Year 2</v>
      </c>
      <c r="F20" s="10" t="str">
        <f aca="false">'Cash Flow'!F5</f>
        <v>Year 3</v>
      </c>
      <c r="G20" s="10" t="str">
        <f aca="false">'Cash Flow'!G5</f>
        <v>Year 4</v>
      </c>
      <c r="H20" s="10" t="str">
        <f aca="false">'Cash Flow'!H5</f>
        <v>Year 5</v>
      </c>
    </row>
    <row r="21" customFormat="false" ht="15" hidden="false" customHeight="false" outlineLevel="0" collapsed="false">
      <c r="B21" s="6" t="s">
        <v>37</v>
      </c>
      <c r="C21" s="8" t="n">
        <f aca="false">'Cash Flow'!C8</f>
        <v>-54700000</v>
      </c>
      <c r="D21" s="8" t="n">
        <f aca="false">'Cash Flow'!D8</f>
        <v>3758612.5</v>
      </c>
      <c r="E21" s="8" t="n">
        <f aca="false">'Cash Flow'!E8</f>
        <v>5022583.75</v>
      </c>
      <c r="F21" s="8" t="n">
        <f aca="false">'Cash Flow'!F8</f>
        <v>6568343.75</v>
      </c>
      <c r="G21" s="8" t="n">
        <f aca="false">'Cash Flow'!G8</f>
        <v>4902400</v>
      </c>
      <c r="H21" s="8" t="n">
        <f aca="false">'Cash Flow'!H8</f>
        <v>5601360</v>
      </c>
    </row>
    <row r="22" customFormat="false" ht="15" hidden="false" customHeight="false" outlineLevel="0" collapsed="false">
      <c r="B22" s="9" t="s">
        <v>38</v>
      </c>
      <c r="C22" s="8" t="n">
        <f aca="false">'Cash Flow'!C9</f>
        <v>-54700000</v>
      </c>
      <c r="D22" s="8" t="n">
        <f aca="false">'Cash Flow'!D9</f>
        <v>-50941387.5</v>
      </c>
      <c r="E22" s="8" t="n">
        <f aca="false">'Cash Flow'!E9</f>
        <v>-45918803.75</v>
      </c>
      <c r="F22" s="8" t="n">
        <f aca="false">'Cash Flow'!F9</f>
        <v>-39350460</v>
      </c>
      <c r="G22" s="8" t="n">
        <f aca="false">'Cash Flow'!G9</f>
        <v>-34448060</v>
      </c>
      <c r="H22" s="8" t="n">
        <f aca="false">'Cash Flow'!H9</f>
        <v>-28846700</v>
      </c>
    </row>
    <row r="46" customFormat="false" ht="15" hidden="false" customHeight="false" outlineLevel="0" collapsed="false">
      <c r="B46" s="11" t="s">
        <v>39</v>
      </c>
    </row>
    <row r="47" customFormat="false" ht="15" hidden="false" customHeight="false" outlineLevel="0" collapsed="false">
      <c r="B47" s="11" t="s">
        <v>40</v>
      </c>
    </row>
  </sheetData>
  <mergeCells count="2">
    <mergeCell ref="B6:H6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41</v>
      </c>
    </row>
    <row r="3" customFormat="false" ht="15" hidden="false" customHeight="false" outlineLevel="0" collapsed="false">
      <c r="B3" s="2" t="s">
        <v>42</v>
      </c>
    </row>
    <row r="5" customFormat="false" ht="18" hidden="false" customHeight="true" outlineLevel="0" collapsed="false">
      <c r="B5" s="5" t="s">
        <v>43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6" t="s">
        <v>44</v>
      </c>
      <c r="C6" s="12" t="n">
        <v>23000000</v>
      </c>
    </row>
    <row r="7" customFormat="false" ht="15" hidden="false" customHeight="false" outlineLevel="0" collapsed="false">
      <c r="B7" s="6" t="s">
        <v>45</v>
      </c>
      <c r="C7" s="12" t="n">
        <v>6000000</v>
      </c>
    </row>
    <row r="8" customFormat="false" ht="15" hidden="false" customHeight="false" outlineLevel="0" collapsed="false">
      <c r="B8" s="6" t="s">
        <v>46</v>
      </c>
      <c r="C8" s="13" t="n">
        <f aca="false">C6-C7</f>
        <v>17000000</v>
      </c>
    </row>
    <row r="9" customFormat="false" ht="15" hidden="false" customHeight="false" outlineLevel="0" collapsed="false">
      <c r="B9" s="6" t="s">
        <v>47</v>
      </c>
      <c r="C9" s="14" t="n">
        <v>46296</v>
      </c>
    </row>
    <row r="10" customFormat="false" ht="15" hidden="false" customHeight="false" outlineLevel="0" collapsed="false">
      <c r="B10" s="6" t="s">
        <v>48</v>
      </c>
      <c r="C10" s="14" t="n">
        <v>46478</v>
      </c>
    </row>
    <row r="11" customFormat="false" ht="15" hidden="false" customHeight="false" outlineLevel="0" collapsed="false">
      <c r="B11" s="6" t="s">
        <v>49</v>
      </c>
      <c r="C11" s="12" t="n">
        <v>73600000</v>
      </c>
    </row>
    <row r="12" customFormat="false" ht="15" hidden="false" customHeight="false" outlineLevel="0" collapsed="false">
      <c r="B12" s="6" t="s">
        <v>50</v>
      </c>
      <c r="C12" s="15" t="n">
        <v>6</v>
      </c>
    </row>
    <row r="13" customFormat="false" ht="15" hidden="false" customHeight="false" outlineLevel="0" collapsed="false">
      <c r="B13" s="6" t="s">
        <v>51</v>
      </c>
      <c r="C13" s="13" t="n">
        <f aca="false">C11/C12</f>
        <v>12266666.6666667</v>
      </c>
    </row>
    <row r="14" customFormat="false" ht="15" hidden="false" customHeight="false" outlineLevel="0" collapsed="false">
      <c r="B14" s="6" t="s">
        <v>52</v>
      </c>
      <c r="C14" s="14" t="n">
        <v>46569</v>
      </c>
    </row>
    <row r="15" customFormat="false" ht="15" hidden="false" customHeight="false" outlineLevel="0" collapsed="false">
      <c r="B15" s="6" t="s">
        <v>53</v>
      </c>
      <c r="C15" s="16" t="n">
        <v>3</v>
      </c>
    </row>
    <row r="17" customFormat="false" ht="18" hidden="false" customHeight="true" outlineLevel="0" collapsed="false">
      <c r="B17" s="5" t="s">
        <v>54</v>
      </c>
      <c r="C17" s="5"/>
      <c r="D17" s="5"/>
      <c r="E17" s="5"/>
      <c r="F17" s="5"/>
      <c r="G17" s="5"/>
      <c r="H17" s="5"/>
    </row>
    <row r="18" customFormat="false" ht="15.75" hidden="false" customHeight="true" outlineLevel="0" collapsed="false">
      <c r="B18" s="9" t="s">
        <v>55</v>
      </c>
      <c r="C18" s="17" t="s">
        <v>56</v>
      </c>
      <c r="D18" s="17" t="s">
        <v>57</v>
      </c>
      <c r="E18" s="17" t="s">
        <v>58</v>
      </c>
      <c r="F18" s="17" t="s">
        <v>59</v>
      </c>
      <c r="G18" s="17" t="s">
        <v>60</v>
      </c>
      <c r="H18" s="9" t="s">
        <v>61</v>
      </c>
    </row>
    <row r="19" customFormat="false" ht="15" hidden="false" customHeight="false" outlineLevel="0" collapsed="false">
      <c r="B19" s="6" t="s">
        <v>62</v>
      </c>
      <c r="C19" s="15" t="n">
        <v>15</v>
      </c>
      <c r="D19" s="15" t="n">
        <v>22</v>
      </c>
      <c r="E19" s="15" t="n">
        <v>28</v>
      </c>
      <c r="F19" s="15" t="n">
        <v>32</v>
      </c>
      <c r="G19" s="15" t="n">
        <v>35</v>
      </c>
    </row>
    <row r="20" customFormat="false" ht="15" hidden="false" customHeight="false" outlineLevel="0" collapsed="false">
      <c r="B20" s="6" t="s">
        <v>63</v>
      </c>
      <c r="C20" s="15" t="n">
        <v>2000</v>
      </c>
      <c r="D20" s="15" t="n">
        <v>3500</v>
      </c>
      <c r="E20" s="15" t="n">
        <v>4500</v>
      </c>
      <c r="F20" s="15" t="n">
        <v>5500</v>
      </c>
      <c r="G20" s="15" t="n">
        <v>6000</v>
      </c>
    </row>
    <row r="21" customFormat="false" ht="15" hidden="false" customHeight="false" outlineLevel="0" collapsed="false">
      <c r="B21" s="6" t="s">
        <v>64</v>
      </c>
      <c r="C21" s="16" t="n">
        <v>120</v>
      </c>
      <c r="D21" s="16" t="n">
        <v>220</v>
      </c>
      <c r="E21" s="16" t="n">
        <v>340</v>
      </c>
      <c r="F21" s="16" t="n">
        <v>420</v>
      </c>
      <c r="G21" s="16" t="n">
        <v>500</v>
      </c>
    </row>
    <row r="23" customFormat="false" ht="18" hidden="false" customHeight="true" outlineLevel="0" collapsed="false">
      <c r="B23" s="5" t="s">
        <v>65</v>
      </c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B24" s="6" t="s">
        <v>66</v>
      </c>
      <c r="C24" s="12" t="n">
        <v>15000</v>
      </c>
    </row>
    <row r="25" customFormat="false" ht="15" hidden="false" customHeight="false" outlineLevel="0" collapsed="false">
      <c r="B25" s="6" t="s">
        <v>67</v>
      </c>
      <c r="C25" s="18" t="n">
        <v>300</v>
      </c>
    </row>
    <row r="26" customFormat="false" ht="15" hidden="false" customHeight="false" outlineLevel="0" collapsed="false">
      <c r="B26" s="6" t="s">
        <v>68</v>
      </c>
      <c r="C26" s="19" t="n">
        <v>0.2</v>
      </c>
    </row>
    <row r="27" customFormat="false" ht="15" hidden="false" customHeight="false" outlineLevel="0" collapsed="false">
      <c r="B27" s="6" t="s">
        <v>69</v>
      </c>
      <c r="C27" s="18" t="n">
        <v>700</v>
      </c>
    </row>
    <row r="28" customFormat="false" ht="15" hidden="false" customHeight="false" outlineLevel="0" collapsed="false">
      <c r="B28" s="6" t="s">
        <v>70</v>
      </c>
      <c r="C28" s="18" t="n">
        <v>4500</v>
      </c>
      <c r="H28" s="11" t="s">
        <v>71</v>
      </c>
    </row>
    <row r="30" customFormat="false" ht="18" hidden="false" customHeight="true" outlineLevel="0" collapsed="false">
      <c r="B30" s="5" t="s">
        <v>72</v>
      </c>
      <c r="C30" s="5"/>
      <c r="D30" s="5"/>
      <c r="E30" s="5"/>
      <c r="F30" s="5"/>
      <c r="G30" s="5"/>
      <c r="H30" s="5"/>
    </row>
    <row r="31" customFormat="false" ht="15.75" hidden="false" customHeight="true" outlineLevel="0" collapsed="false">
      <c r="B31" s="9" t="s">
        <v>55</v>
      </c>
      <c r="C31" s="17" t="s">
        <v>56</v>
      </c>
      <c r="D31" s="17" t="s">
        <v>57</v>
      </c>
      <c r="E31" s="17" t="s">
        <v>58</v>
      </c>
      <c r="F31" s="17" t="s">
        <v>59</v>
      </c>
      <c r="G31" s="17" t="s">
        <v>60</v>
      </c>
      <c r="H31" s="9" t="s">
        <v>61</v>
      </c>
    </row>
    <row r="32" customFormat="false" ht="15" hidden="false" customHeight="false" outlineLevel="0" collapsed="false">
      <c r="B32" s="6" t="s">
        <v>73</v>
      </c>
      <c r="C32" s="18" t="n">
        <v>1200000</v>
      </c>
      <c r="D32" s="18" t="n">
        <v>1400000</v>
      </c>
      <c r="E32" s="18" t="n">
        <v>1600000</v>
      </c>
      <c r="F32" s="18" t="n">
        <v>1800000</v>
      </c>
      <c r="G32" s="18" t="n">
        <v>2000000</v>
      </c>
    </row>
    <row r="33" customFormat="false" ht="15" hidden="false" customHeight="false" outlineLevel="0" collapsed="false">
      <c r="B33" s="6" t="s">
        <v>74</v>
      </c>
      <c r="C33" s="18" t="n">
        <v>800000</v>
      </c>
      <c r="D33" s="18" t="n">
        <v>1200000</v>
      </c>
      <c r="E33" s="18" t="n">
        <v>1700000</v>
      </c>
      <c r="F33" s="18" t="n">
        <v>2100000</v>
      </c>
      <c r="G33" s="18" t="n">
        <v>2500000</v>
      </c>
    </row>
    <row r="34" customFormat="false" ht="15" hidden="false" customHeight="false" outlineLevel="0" collapsed="false">
      <c r="B34" s="6" t="s">
        <v>75</v>
      </c>
      <c r="C34" s="18" t="n">
        <v>3200000</v>
      </c>
      <c r="D34" s="18" t="n">
        <v>3600000</v>
      </c>
      <c r="E34" s="18" t="n">
        <v>4000000</v>
      </c>
      <c r="F34" s="18" t="n">
        <v>4300000</v>
      </c>
      <c r="G34" s="18" t="n">
        <v>4600000</v>
      </c>
    </row>
    <row r="35" customFormat="false" ht="15" hidden="false" customHeight="false" outlineLevel="0" collapsed="false">
      <c r="B35" s="6" t="s">
        <v>76</v>
      </c>
      <c r="C35" s="18" t="n">
        <v>600000</v>
      </c>
      <c r="D35" s="18" t="n">
        <v>900000</v>
      </c>
      <c r="E35" s="18" t="n">
        <v>1200000</v>
      </c>
      <c r="F35" s="18" t="n">
        <v>1400000</v>
      </c>
      <c r="G35" s="18" t="n">
        <v>1600000</v>
      </c>
    </row>
    <row r="36" customFormat="false" ht="15" hidden="false" customHeight="false" outlineLevel="0" collapsed="false">
      <c r="B36" s="6" t="s">
        <v>77</v>
      </c>
      <c r="C36" s="18" t="n">
        <v>350000</v>
      </c>
      <c r="D36" s="18" t="n">
        <v>400000</v>
      </c>
      <c r="E36" s="18" t="n">
        <v>450000</v>
      </c>
      <c r="F36" s="18" t="n">
        <v>480000</v>
      </c>
      <c r="G36" s="18" t="n">
        <v>500000</v>
      </c>
    </row>
    <row r="37" customFormat="false" ht="15" hidden="false" customHeight="false" outlineLevel="0" collapsed="false">
      <c r="B37" s="6" t="s">
        <v>78</v>
      </c>
      <c r="C37" s="18" t="n">
        <v>300000</v>
      </c>
      <c r="D37" s="18" t="n">
        <v>320000</v>
      </c>
      <c r="E37" s="18" t="n">
        <v>340000</v>
      </c>
      <c r="F37" s="18" t="n">
        <v>360000</v>
      </c>
      <c r="G37" s="18" t="n">
        <v>380000</v>
      </c>
    </row>
    <row r="39" customFormat="false" ht="18" hidden="false" customHeight="true" outlineLevel="0" collapsed="false">
      <c r="B39" s="20" t="s">
        <v>79</v>
      </c>
      <c r="C39" s="20"/>
      <c r="D39" s="20"/>
      <c r="E39" s="20"/>
      <c r="F39" s="20"/>
      <c r="G39" s="20"/>
      <c r="H39" s="20"/>
    </row>
    <row r="40" customFormat="false" ht="15" hidden="false" customHeight="false" outlineLevel="0" collapsed="false">
      <c r="B40" s="6" t="s">
        <v>80</v>
      </c>
      <c r="C40" s="16" t="n">
        <v>3</v>
      </c>
    </row>
    <row r="41" customFormat="false" ht="15" hidden="false" customHeight="false" outlineLevel="0" collapsed="false">
      <c r="B41" s="6" t="s">
        <v>81</v>
      </c>
      <c r="C41" s="18" t="n">
        <v>2500</v>
      </c>
    </row>
    <row r="42" customFormat="false" ht="15.75" hidden="false" customHeight="true" outlineLevel="0" collapsed="false">
      <c r="B42" s="9" t="s">
        <v>55</v>
      </c>
      <c r="C42" s="17" t="s">
        <v>56</v>
      </c>
      <c r="D42" s="17" t="s">
        <v>57</v>
      </c>
      <c r="E42" s="17" t="s">
        <v>58</v>
      </c>
      <c r="F42" s="17" t="s">
        <v>59</v>
      </c>
      <c r="G42" s="17" t="s">
        <v>60</v>
      </c>
      <c r="H42" s="9" t="s">
        <v>61</v>
      </c>
    </row>
    <row r="43" customFormat="false" ht="15" hidden="false" customHeight="false" outlineLevel="0" collapsed="false">
      <c r="B43" s="6" t="s">
        <v>82</v>
      </c>
      <c r="C43" s="19" t="n">
        <v>0.15</v>
      </c>
      <c r="D43" s="19" t="n">
        <v>0.25</v>
      </c>
      <c r="E43" s="19" t="n">
        <v>0.35</v>
      </c>
      <c r="F43" s="19" t="n">
        <v>0.4</v>
      </c>
      <c r="G43" s="19" t="n">
        <v>0.42</v>
      </c>
    </row>
    <row r="44" customFormat="false" ht="15" hidden="false" customHeight="false" outlineLevel="0" collapsed="false">
      <c r="B44" s="6" t="s">
        <v>83</v>
      </c>
      <c r="C44" s="16" t="n">
        <v>4</v>
      </c>
    </row>
    <row r="45" customFormat="false" ht="15" hidden="false" customHeight="false" outlineLevel="0" collapsed="false">
      <c r="B45" s="6" t="s">
        <v>84</v>
      </c>
      <c r="C45" s="18" t="n">
        <v>800</v>
      </c>
    </row>
    <row r="46" customFormat="false" ht="15.75" hidden="false" customHeight="true" outlineLevel="0" collapsed="false">
      <c r="B46" s="9" t="s">
        <v>55</v>
      </c>
      <c r="C46" s="17" t="s">
        <v>56</v>
      </c>
      <c r="D46" s="17" t="s">
        <v>57</v>
      </c>
      <c r="E46" s="17" t="s">
        <v>58</v>
      </c>
      <c r="F46" s="17" t="s">
        <v>59</v>
      </c>
      <c r="G46" s="17" t="s">
        <v>60</v>
      </c>
      <c r="H46" s="9" t="s">
        <v>61</v>
      </c>
    </row>
    <row r="47" customFormat="false" ht="15" hidden="false" customHeight="false" outlineLevel="0" collapsed="false">
      <c r="B47" s="6" t="s">
        <v>85</v>
      </c>
      <c r="C47" s="19" t="n">
        <v>0.1</v>
      </c>
      <c r="D47" s="19" t="n">
        <v>0.18</v>
      </c>
      <c r="E47" s="19" t="n">
        <v>0.25</v>
      </c>
      <c r="F47" s="19" t="n">
        <v>0.3</v>
      </c>
      <c r="G47" s="19" t="n">
        <v>0.32</v>
      </c>
    </row>
    <row r="48" customFormat="false" ht="15" hidden="false" customHeight="false" outlineLevel="0" collapsed="false">
      <c r="B48" s="6" t="s">
        <v>86</v>
      </c>
      <c r="C48" s="16" t="n">
        <v>1</v>
      </c>
    </row>
    <row r="49" customFormat="false" ht="15" hidden="false" customHeight="false" outlineLevel="0" collapsed="false">
      <c r="B49" s="6" t="s">
        <v>87</v>
      </c>
      <c r="C49" s="18" t="n">
        <v>4500</v>
      </c>
    </row>
    <row r="50" customFormat="false" ht="15.75" hidden="false" customHeight="true" outlineLevel="0" collapsed="false">
      <c r="B50" s="9" t="s">
        <v>55</v>
      </c>
      <c r="C50" s="17" t="s">
        <v>56</v>
      </c>
      <c r="D50" s="17" t="s">
        <v>57</v>
      </c>
      <c r="E50" s="17" t="s">
        <v>58</v>
      </c>
      <c r="F50" s="17" t="s">
        <v>59</v>
      </c>
      <c r="G50" s="17" t="s">
        <v>60</v>
      </c>
      <c r="H50" s="9" t="s">
        <v>61</v>
      </c>
    </row>
    <row r="51" customFormat="false" ht="15" hidden="false" customHeight="false" outlineLevel="0" collapsed="false">
      <c r="B51" s="6" t="s">
        <v>88</v>
      </c>
      <c r="C51" s="19" t="n">
        <v>0.15</v>
      </c>
      <c r="D51" s="19" t="n">
        <v>0.25</v>
      </c>
      <c r="E51" s="19" t="n">
        <v>0.35</v>
      </c>
      <c r="F51" s="19" t="n">
        <v>0.4</v>
      </c>
      <c r="G51" s="19" t="n">
        <v>0.42</v>
      </c>
    </row>
    <row r="53" customFormat="false" ht="18" hidden="false" customHeight="true" outlineLevel="0" collapsed="false">
      <c r="B53" s="20" t="s">
        <v>89</v>
      </c>
      <c r="C53" s="20"/>
      <c r="D53" s="20"/>
      <c r="E53" s="20"/>
      <c r="F53" s="20"/>
      <c r="G53" s="20"/>
      <c r="H53" s="20"/>
    </row>
    <row r="54" customFormat="false" ht="15.75" hidden="false" customHeight="true" outlineLevel="0" collapsed="false">
      <c r="B54" s="9" t="s">
        <v>55</v>
      </c>
      <c r="C54" s="17" t="s">
        <v>56</v>
      </c>
      <c r="D54" s="17" t="s">
        <v>57</v>
      </c>
      <c r="E54" s="17" t="s">
        <v>58</v>
      </c>
      <c r="F54" s="17" t="s">
        <v>59</v>
      </c>
      <c r="G54" s="17" t="s">
        <v>60</v>
      </c>
      <c r="H54" s="9" t="s">
        <v>61</v>
      </c>
    </row>
    <row r="55" customFormat="false" ht="15" hidden="false" customHeight="false" outlineLevel="0" collapsed="false">
      <c r="B55" s="6" t="s">
        <v>90</v>
      </c>
      <c r="C55" s="15" t="n">
        <v>6</v>
      </c>
      <c r="D55" s="15" t="n">
        <v>11</v>
      </c>
      <c r="E55" s="15" t="n">
        <v>16</v>
      </c>
      <c r="F55" s="15" t="n">
        <v>16</v>
      </c>
      <c r="G55" s="15" t="n">
        <v>16</v>
      </c>
    </row>
    <row r="56" customFormat="false" ht="15" hidden="false" customHeight="false" outlineLevel="0" collapsed="false">
      <c r="B56" s="6" t="s">
        <v>91</v>
      </c>
      <c r="C56" s="18" t="n">
        <v>60</v>
      </c>
    </row>
    <row r="57" customFormat="false" ht="15" hidden="false" customHeight="false" outlineLevel="0" collapsed="false">
      <c r="B57" s="6" t="s">
        <v>92</v>
      </c>
      <c r="C57" s="18" t="n">
        <v>8000</v>
      </c>
    </row>
    <row r="58" customFormat="false" ht="15" hidden="false" customHeight="false" outlineLevel="0" collapsed="false">
      <c r="B58" s="6" t="s">
        <v>93</v>
      </c>
      <c r="C58" s="12" t="n">
        <v>30000</v>
      </c>
    </row>
    <row r="59" customFormat="false" ht="15" hidden="false" customHeight="false" outlineLevel="0" collapsed="false">
      <c r="B59" s="6" t="s">
        <v>94</v>
      </c>
      <c r="C59" s="18" t="n">
        <v>900000</v>
      </c>
      <c r="D59" s="18" t="n">
        <v>1100000</v>
      </c>
      <c r="E59" s="18" t="n">
        <v>1300000</v>
      </c>
      <c r="F59" s="18" t="n">
        <v>1400000</v>
      </c>
      <c r="G59" s="18" t="n">
        <v>1450000</v>
      </c>
    </row>
    <row r="60" customFormat="false" ht="15" hidden="false" customHeight="false" outlineLevel="0" collapsed="false">
      <c r="B60" s="6" t="s">
        <v>95</v>
      </c>
      <c r="C60" s="18" t="n">
        <v>200000</v>
      </c>
      <c r="D60" s="18" t="n">
        <v>350000</v>
      </c>
      <c r="E60" s="18" t="n">
        <v>500000</v>
      </c>
      <c r="F60" s="18" t="n">
        <v>550000</v>
      </c>
      <c r="G60" s="18" t="n">
        <v>600000</v>
      </c>
    </row>
    <row r="62" customFormat="false" ht="18" hidden="false" customHeight="true" outlineLevel="0" collapsed="false">
      <c r="B62" s="20" t="s">
        <v>96</v>
      </c>
      <c r="C62" s="20"/>
      <c r="D62" s="20"/>
      <c r="E62" s="20"/>
      <c r="F62" s="20"/>
      <c r="G62" s="20"/>
      <c r="H62" s="20"/>
    </row>
    <row r="63" customFormat="false" ht="15" hidden="false" customHeight="false" outlineLevel="0" collapsed="false">
      <c r="B63" s="6" t="s">
        <v>97</v>
      </c>
      <c r="C63" s="16" t="n">
        <v>32</v>
      </c>
    </row>
    <row r="64" customFormat="false" ht="15" hidden="false" customHeight="false" outlineLevel="0" collapsed="false">
      <c r="B64" s="6" t="s">
        <v>98</v>
      </c>
      <c r="C64" s="15" t="n">
        <v>5</v>
      </c>
    </row>
    <row r="65" customFormat="false" ht="15" hidden="false" customHeight="false" outlineLevel="0" collapsed="false">
      <c r="B65" s="6" t="s">
        <v>99</v>
      </c>
      <c r="C65" s="21" t="n">
        <f aca="false">C63-C64</f>
        <v>27</v>
      </c>
    </row>
    <row r="66" customFormat="false" ht="15" hidden="false" customHeight="false" outlineLevel="0" collapsed="false">
      <c r="B66" s="6" t="s">
        <v>100</v>
      </c>
      <c r="C66" s="12" t="n">
        <v>3500000</v>
      </c>
    </row>
    <row r="67" customFormat="false" ht="15" hidden="false" customHeight="false" outlineLevel="0" collapsed="false">
      <c r="B67" s="6" t="s">
        <v>101</v>
      </c>
      <c r="C67" s="18" t="n">
        <v>3500000</v>
      </c>
    </row>
    <row r="68" customFormat="false" ht="15" hidden="false" customHeight="false" outlineLevel="0" collapsed="false">
      <c r="B68" s="6" t="s">
        <v>102</v>
      </c>
      <c r="C68" s="18" t="n">
        <v>2000000</v>
      </c>
    </row>
    <row r="69" customFormat="false" ht="15" hidden="false" customHeight="false" outlineLevel="0" collapsed="false">
      <c r="B69" s="6" t="s">
        <v>103</v>
      </c>
      <c r="C69" s="18" t="n">
        <v>3500000</v>
      </c>
    </row>
    <row r="70" customFormat="false" ht="15" hidden="false" customHeight="false" outlineLevel="0" collapsed="false">
      <c r="B70" s="6" t="s">
        <v>104</v>
      </c>
      <c r="C70" s="18" t="n">
        <v>2000000</v>
      </c>
    </row>
    <row r="71" customFormat="false" ht="15" hidden="false" customHeight="false" outlineLevel="0" collapsed="false">
      <c r="B71" s="6" t="s">
        <v>105</v>
      </c>
      <c r="C71" s="18" t="n">
        <v>500000</v>
      </c>
    </row>
    <row r="72" customFormat="false" ht="15" hidden="false" customHeight="false" outlineLevel="0" collapsed="false">
      <c r="B72" s="6" t="s">
        <v>106</v>
      </c>
      <c r="C72" s="18" t="n">
        <v>1500000</v>
      </c>
    </row>
    <row r="73" customFormat="false" ht="15" hidden="false" customHeight="false" outlineLevel="0" collapsed="false">
      <c r="B73" s="6" t="s">
        <v>107</v>
      </c>
      <c r="C73" s="18" t="n">
        <v>800000</v>
      </c>
    </row>
    <row r="74" customFormat="false" ht="15" hidden="false" customHeight="false" outlineLevel="0" collapsed="false">
      <c r="B74" s="6" t="s">
        <v>108</v>
      </c>
      <c r="C74" s="22" t="n">
        <v>0.05</v>
      </c>
    </row>
    <row r="75" customFormat="false" ht="15" hidden="false" customHeight="false" outlineLevel="0" collapsed="false">
      <c r="B75" s="6" t="s">
        <v>109</v>
      </c>
      <c r="C75" s="19" t="n">
        <v>0.01</v>
      </c>
    </row>
    <row r="76" customFormat="false" ht="15" hidden="false" customHeight="false" outlineLevel="0" collapsed="false">
      <c r="B76" s="6" t="s">
        <v>110</v>
      </c>
      <c r="C76" s="22" t="n">
        <v>0.033</v>
      </c>
    </row>
    <row r="77" customFormat="false" ht="15" hidden="false" customHeight="false" outlineLevel="0" collapsed="false">
      <c r="B77" s="6" t="s">
        <v>111</v>
      </c>
      <c r="C77" s="12" t="n">
        <v>3000000</v>
      </c>
      <c r="H77" s="11" t="s">
        <v>112</v>
      </c>
    </row>
    <row r="79" customFormat="false" ht="18" hidden="false" customHeight="true" outlineLevel="0" collapsed="false">
      <c r="B79" s="5" t="s">
        <v>113</v>
      </c>
      <c r="C79" s="5"/>
      <c r="D79" s="5"/>
      <c r="E79" s="5"/>
      <c r="F79" s="5"/>
      <c r="G79" s="5"/>
      <c r="H79" s="5"/>
    </row>
    <row r="80" customFormat="false" ht="15" hidden="false" customHeight="false" outlineLevel="0" collapsed="false">
      <c r="B80" s="6" t="s">
        <v>114</v>
      </c>
      <c r="C80" s="18" t="n">
        <v>13000000</v>
      </c>
    </row>
    <row r="81" customFormat="false" ht="15" hidden="false" customHeight="false" outlineLevel="0" collapsed="false">
      <c r="B81" s="6" t="s">
        <v>115</v>
      </c>
      <c r="C81" s="18" t="n">
        <v>4500000</v>
      </c>
    </row>
    <row r="82" customFormat="false" ht="15" hidden="false" customHeight="false" outlineLevel="0" collapsed="false">
      <c r="B82" s="6" t="s">
        <v>116</v>
      </c>
      <c r="C82" s="18" t="n">
        <v>2900000</v>
      </c>
    </row>
    <row r="83" customFormat="false" ht="15" hidden="false" customHeight="false" outlineLevel="0" collapsed="false">
      <c r="B83" s="6" t="s">
        <v>117</v>
      </c>
      <c r="C83" s="18" t="n">
        <v>2500000</v>
      </c>
    </row>
    <row r="84" customFormat="false" ht="15" hidden="false" customHeight="false" outlineLevel="0" collapsed="false">
      <c r="B84" s="6" t="s">
        <v>118</v>
      </c>
      <c r="C84" s="18" t="n">
        <v>1800000</v>
      </c>
    </row>
    <row r="85" customFormat="false" ht="15" hidden="false" customHeight="false" outlineLevel="0" collapsed="false">
      <c r="B85" s="6" t="s">
        <v>119</v>
      </c>
      <c r="C85" s="18" t="n">
        <v>1500000</v>
      </c>
    </row>
    <row r="86" customFormat="false" ht="15" hidden="false" customHeight="false" outlineLevel="0" collapsed="false">
      <c r="B86" s="6" t="s">
        <v>120</v>
      </c>
      <c r="C86" s="18" t="n">
        <v>1500000</v>
      </c>
    </row>
    <row r="87" customFormat="false" ht="15" hidden="false" customHeight="false" outlineLevel="0" collapsed="false">
      <c r="B87" s="6" t="s">
        <v>121</v>
      </c>
      <c r="C87" s="18" t="n">
        <v>1200000</v>
      </c>
    </row>
    <row r="88" customFormat="false" ht="15" hidden="false" customHeight="false" outlineLevel="0" collapsed="false">
      <c r="B88" s="6" t="s">
        <v>122</v>
      </c>
      <c r="C88" s="18" t="n">
        <v>900000</v>
      </c>
    </row>
    <row r="89" customFormat="false" ht="15" hidden="false" customHeight="false" outlineLevel="0" collapsed="false">
      <c r="B89" s="6" t="s">
        <v>123</v>
      </c>
      <c r="C89" s="18" t="n">
        <v>800000</v>
      </c>
    </row>
    <row r="90" customFormat="false" ht="15" hidden="false" customHeight="false" outlineLevel="0" collapsed="false">
      <c r="B90" s="6" t="s">
        <v>124</v>
      </c>
      <c r="C90" s="18" t="n">
        <v>600000</v>
      </c>
    </row>
    <row r="91" customFormat="false" ht="15" hidden="false" customHeight="false" outlineLevel="0" collapsed="false">
      <c r="B91" s="6" t="s">
        <v>125</v>
      </c>
      <c r="C91" s="18" t="n">
        <v>500000</v>
      </c>
    </row>
  </sheetData>
  <mergeCells count="8">
    <mergeCell ref="B5:H5"/>
    <mergeCell ref="B17:H17"/>
    <mergeCell ref="B23:H23"/>
    <mergeCell ref="B30:H30"/>
    <mergeCell ref="B39:H39"/>
    <mergeCell ref="B53:H53"/>
    <mergeCell ref="B62:H62"/>
    <mergeCell ref="B79:H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8" min="4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126</v>
      </c>
    </row>
    <row r="3" customFormat="false" ht="15" hidden="false" customHeight="false" outlineLevel="0" collapsed="false">
      <c r="B3" s="2" t="s">
        <v>127</v>
      </c>
    </row>
    <row r="5" customFormat="false" ht="15" hidden="false" customHeight="false" outlineLevel="0" collapsed="false">
      <c r="B5" s="23" t="s">
        <v>128</v>
      </c>
      <c r="C5" s="23" t="s">
        <v>129</v>
      </c>
      <c r="D5" s="23" t="s">
        <v>130</v>
      </c>
      <c r="E5" s="23" t="s">
        <v>131</v>
      </c>
    </row>
    <row r="6" customFormat="false" ht="15" hidden="false" customHeight="false" outlineLevel="0" collapsed="false">
      <c r="B6" s="24" t="n">
        <f aca="false">Assumptions!$C$9</f>
        <v>46296</v>
      </c>
      <c r="C6" s="6" t="s">
        <v>132</v>
      </c>
      <c r="D6" s="8" t="n">
        <f aca="false">Assumptions!$C$7</f>
        <v>6000000</v>
      </c>
      <c r="E6" s="25" t="s">
        <v>133</v>
      </c>
    </row>
    <row r="7" customFormat="false" ht="15" hidden="false" customHeight="false" outlineLevel="0" collapsed="false">
      <c r="B7" s="24" t="n">
        <f aca="false">Assumptions!$C$10</f>
        <v>46478</v>
      </c>
      <c r="C7" s="6" t="s">
        <v>134</v>
      </c>
      <c r="D7" s="8" t="n">
        <f aca="false">Assumptions!$C$8</f>
        <v>17000000</v>
      </c>
      <c r="E7" s="25" t="s">
        <v>133</v>
      </c>
    </row>
    <row r="8" customFormat="false" ht="15" hidden="false" customHeight="false" outlineLevel="0" collapsed="false">
      <c r="B8" s="24" t="n">
        <f aca="false">EDATE(Assumptions!$C$14,0*Assumptions!$C$15)</f>
        <v>46569</v>
      </c>
      <c r="C8" s="6" t="s">
        <v>135</v>
      </c>
      <c r="D8" s="8" t="n">
        <f aca="false">Assumptions!$C$13</f>
        <v>12266666.6666667</v>
      </c>
      <c r="E8" s="26" t="s">
        <v>136</v>
      </c>
    </row>
    <row r="9" customFormat="false" ht="15" hidden="false" customHeight="false" outlineLevel="0" collapsed="false">
      <c r="B9" s="24" t="n">
        <f aca="false">EDATE(Assumptions!$C$14,1*Assumptions!$C$15)</f>
        <v>46661</v>
      </c>
      <c r="C9" s="6" t="s">
        <v>137</v>
      </c>
      <c r="D9" s="8" t="n">
        <f aca="false">Assumptions!$C$13</f>
        <v>12266666.6666667</v>
      </c>
      <c r="E9" s="26" t="s">
        <v>136</v>
      </c>
    </row>
    <row r="10" customFormat="false" ht="15" hidden="false" customHeight="false" outlineLevel="0" collapsed="false">
      <c r="B10" s="24" t="n">
        <f aca="false">EDATE(Assumptions!$C$14,2*Assumptions!$C$15)</f>
        <v>46753</v>
      </c>
      <c r="C10" s="6" t="s">
        <v>138</v>
      </c>
      <c r="D10" s="8" t="n">
        <f aca="false">Assumptions!$C$13</f>
        <v>12266666.6666667</v>
      </c>
      <c r="E10" s="26" t="s">
        <v>136</v>
      </c>
    </row>
    <row r="11" customFormat="false" ht="15" hidden="false" customHeight="false" outlineLevel="0" collapsed="false">
      <c r="B11" s="24" t="n">
        <f aca="false">EDATE(Assumptions!$C$14,3*Assumptions!$C$15)</f>
        <v>46844</v>
      </c>
      <c r="C11" s="6" t="s">
        <v>139</v>
      </c>
      <c r="D11" s="8" t="n">
        <f aca="false">Assumptions!$C$13</f>
        <v>12266666.6666667</v>
      </c>
      <c r="E11" s="26" t="s">
        <v>136</v>
      </c>
    </row>
    <row r="12" customFormat="false" ht="15" hidden="false" customHeight="false" outlineLevel="0" collapsed="false">
      <c r="B12" s="24" t="n">
        <f aca="false">EDATE(Assumptions!$C$14,4*Assumptions!$C$15)</f>
        <v>46935</v>
      </c>
      <c r="C12" s="6" t="s">
        <v>140</v>
      </c>
      <c r="D12" s="8" t="n">
        <f aca="false">Assumptions!$C$13</f>
        <v>12266666.6666667</v>
      </c>
      <c r="E12" s="26" t="s">
        <v>136</v>
      </c>
    </row>
    <row r="13" customFormat="false" ht="15" hidden="false" customHeight="false" outlineLevel="0" collapsed="false">
      <c r="B13" s="24" t="n">
        <f aca="false">EDATE(Assumptions!$C$14,5*Assumptions!$C$15)</f>
        <v>47027</v>
      </c>
      <c r="C13" s="6" t="s">
        <v>141</v>
      </c>
      <c r="D13" s="8" t="n">
        <f aca="false">Assumptions!$C$13</f>
        <v>12266666.6666667</v>
      </c>
      <c r="E13" s="26" t="s">
        <v>136</v>
      </c>
    </row>
    <row r="15" customFormat="false" ht="15" hidden="false" customHeight="false" outlineLevel="0" collapsed="false">
      <c r="C15" s="27" t="s">
        <v>142</v>
      </c>
      <c r="D15" s="28" t="n">
        <f aca="false">SUM(D6:D13)</f>
        <v>96600000</v>
      </c>
    </row>
    <row r="16" customFormat="false" ht="15" hidden="false" customHeight="false" outlineLevel="0" collapsed="false">
      <c r="C16" s="6" t="s">
        <v>143</v>
      </c>
      <c r="D16" s="13" t="n">
        <f aca="false">SUMIF(E6:E13,"You",D6:D13)</f>
        <v>23000000</v>
      </c>
    </row>
    <row r="17" customFormat="false" ht="15" hidden="false" customHeight="false" outlineLevel="0" collapsed="false">
      <c r="C17" s="6" t="s">
        <v>144</v>
      </c>
      <c r="D17" s="13" t="n">
        <f aca="false">SUMIF(E6:E13,"Pass-through",D6:D13)</f>
        <v>73600000</v>
      </c>
    </row>
    <row r="19" customFormat="false" ht="27.75" hidden="false" customHeight="true" outlineLevel="0" collapsed="false">
      <c r="B19" s="29" t="s">
        <v>145</v>
      </c>
      <c r="C19" s="29"/>
      <c r="D19" s="29"/>
      <c r="E19" s="29"/>
      <c r="F19" s="29"/>
    </row>
  </sheetData>
  <mergeCells count="1"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146</v>
      </c>
    </row>
    <row r="3" customFormat="false" ht="15" hidden="false" customHeight="false" outlineLevel="0" collapsed="false">
      <c r="B3" s="2" t="s">
        <v>147</v>
      </c>
    </row>
    <row r="5" customFormat="false" ht="15" hidden="false" customHeight="false" outlineLevel="0" collapsed="false">
      <c r="B5" s="23" t="s">
        <v>148</v>
      </c>
      <c r="C5" s="23" t="s">
        <v>130</v>
      </c>
      <c r="D5" s="23" t="s">
        <v>149</v>
      </c>
    </row>
    <row r="6" customFormat="false" ht="15" hidden="false" customHeight="false" outlineLevel="0" collapsed="false">
      <c r="B6" s="6" t="s">
        <v>150</v>
      </c>
      <c r="C6" s="8" t="n">
        <f aca="false">Assumptions!$C$6</f>
        <v>23000000</v>
      </c>
      <c r="D6" s="30" t="n">
        <f aca="false">C6/$C$19</f>
        <v>0.420475319926874</v>
      </c>
    </row>
    <row r="7" customFormat="false" ht="15" hidden="false" customHeight="false" outlineLevel="0" collapsed="false">
      <c r="B7" s="6" t="s">
        <v>114</v>
      </c>
      <c r="C7" s="8" t="n">
        <f aca="false">Assumptions!$C$80</f>
        <v>13000000</v>
      </c>
      <c r="D7" s="30" t="n">
        <f aca="false">C7/$C$19</f>
        <v>0.237659963436929</v>
      </c>
    </row>
    <row r="8" customFormat="false" ht="15" hidden="false" customHeight="false" outlineLevel="0" collapsed="false">
      <c r="B8" s="6" t="s">
        <v>115</v>
      </c>
      <c r="C8" s="8" t="n">
        <f aca="false">Assumptions!$C$81</f>
        <v>4500000</v>
      </c>
      <c r="D8" s="30" t="n">
        <f aca="false">C8/$C$19</f>
        <v>0.0822669104204753</v>
      </c>
    </row>
    <row r="9" customFormat="false" ht="15" hidden="false" customHeight="false" outlineLevel="0" collapsed="false">
      <c r="B9" s="6" t="s">
        <v>116</v>
      </c>
      <c r="C9" s="8" t="n">
        <f aca="false">Assumptions!$C$82</f>
        <v>2900000</v>
      </c>
      <c r="D9" s="30" t="n">
        <f aca="false">C9/$C$19</f>
        <v>0.0530164533820841</v>
      </c>
    </row>
    <row r="10" customFormat="false" ht="15" hidden="false" customHeight="false" outlineLevel="0" collapsed="false">
      <c r="B10" s="6" t="s">
        <v>117</v>
      </c>
      <c r="C10" s="8" t="n">
        <f aca="false">Assumptions!$C$83</f>
        <v>2500000</v>
      </c>
      <c r="D10" s="30" t="n">
        <f aca="false">C10/$C$19</f>
        <v>0.0457038391224863</v>
      </c>
    </row>
    <row r="11" customFormat="false" ht="15" hidden="false" customHeight="false" outlineLevel="0" collapsed="false">
      <c r="B11" s="6" t="s">
        <v>118</v>
      </c>
      <c r="C11" s="8" t="n">
        <f aca="false">Assumptions!$C$84</f>
        <v>1800000</v>
      </c>
      <c r="D11" s="30" t="n">
        <f aca="false">C11/$C$19</f>
        <v>0.0329067641681901</v>
      </c>
    </row>
    <row r="12" customFormat="false" ht="15" hidden="false" customHeight="false" outlineLevel="0" collapsed="false">
      <c r="B12" s="6" t="s">
        <v>119</v>
      </c>
      <c r="C12" s="8" t="n">
        <f aca="false">Assumptions!$C$85</f>
        <v>1500000</v>
      </c>
      <c r="D12" s="30" t="n">
        <f aca="false">C12/$C$19</f>
        <v>0.0274223034734918</v>
      </c>
    </row>
    <row r="13" customFormat="false" ht="15" hidden="false" customHeight="false" outlineLevel="0" collapsed="false">
      <c r="B13" s="6" t="s">
        <v>120</v>
      </c>
      <c r="C13" s="8" t="n">
        <f aca="false">Assumptions!$C$86</f>
        <v>1500000</v>
      </c>
      <c r="D13" s="30" t="n">
        <f aca="false">C13/$C$19</f>
        <v>0.0274223034734918</v>
      </c>
    </row>
    <row r="14" customFormat="false" ht="15" hidden="false" customHeight="false" outlineLevel="0" collapsed="false">
      <c r="B14" s="6" t="s">
        <v>121</v>
      </c>
      <c r="C14" s="8" t="n">
        <f aca="false">Assumptions!$C$87</f>
        <v>1200000</v>
      </c>
      <c r="D14" s="30" t="n">
        <f aca="false">C14/$C$19</f>
        <v>0.0219378427787934</v>
      </c>
    </row>
    <row r="15" customFormat="false" ht="15" hidden="false" customHeight="false" outlineLevel="0" collapsed="false">
      <c r="B15" s="6" t="s">
        <v>122</v>
      </c>
      <c r="C15" s="8" t="n">
        <f aca="false">Assumptions!$C$88</f>
        <v>900000</v>
      </c>
      <c r="D15" s="30" t="n">
        <f aca="false">C15/$C$19</f>
        <v>0.0164533820840951</v>
      </c>
    </row>
    <row r="16" customFormat="false" ht="15" hidden="false" customHeight="false" outlineLevel="0" collapsed="false">
      <c r="B16" s="6" t="s">
        <v>123</v>
      </c>
      <c r="C16" s="8" t="n">
        <f aca="false">Assumptions!$C$89</f>
        <v>800000</v>
      </c>
      <c r="D16" s="30" t="n">
        <f aca="false">C16/$C$19</f>
        <v>0.0146252285191956</v>
      </c>
    </row>
    <row r="17" customFormat="false" ht="15" hidden="false" customHeight="false" outlineLevel="0" collapsed="false">
      <c r="B17" s="6" t="s">
        <v>124</v>
      </c>
      <c r="C17" s="8" t="n">
        <f aca="false">Assumptions!$C$90</f>
        <v>600000</v>
      </c>
      <c r="D17" s="30" t="n">
        <f aca="false">C17/$C$19</f>
        <v>0.0109689213893967</v>
      </c>
    </row>
    <row r="18" customFormat="false" ht="15" hidden="false" customHeight="false" outlineLevel="0" collapsed="false">
      <c r="B18" s="6" t="s">
        <v>125</v>
      </c>
      <c r="C18" s="8" t="n">
        <f aca="false">Assumptions!$C$91</f>
        <v>500000</v>
      </c>
      <c r="D18" s="30" t="n">
        <f aca="false">C18/$C$19</f>
        <v>0.00914076782449726</v>
      </c>
    </row>
    <row r="19" customFormat="false" ht="15" hidden="false" customHeight="false" outlineLevel="0" collapsed="false">
      <c r="B19" s="27" t="s">
        <v>151</v>
      </c>
      <c r="C19" s="28" t="n">
        <f aca="false">SUM(C6:C18)</f>
        <v>54700000</v>
      </c>
      <c r="D19" s="31" t="n">
        <v>1</v>
      </c>
    </row>
    <row r="21" customFormat="false" ht="15" hidden="false" customHeight="false" outlineLevel="0" collapsed="false">
      <c r="B21" s="6" t="s">
        <v>152</v>
      </c>
      <c r="C21" s="13" t="n">
        <f aca="false">C6</f>
        <v>23000000</v>
      </c>
    </row>
    <row r="22" customFormat="false" ht="15" hidden="false" customHeight="false" outlineLevel="0" collapsed="false">
      <c r="B22" s="6" t="s">
        <v>153</v>
      </c>
      <c r="C22" s="13" t="n">
        <f aca="false">C19-C6</f>
        <v>31700000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154</v>
      </c>
    </row>
    <row r="3" customFormat="false" ht="15" hidden="false" customHeight="false" outlineLevel="0" collapsed="false">
      <c r="B3" s="2" t="s">
        <v>155</v>
      </c>
    </row>
    <row r="5" customFormat="false" ht="15" hidden="false" customHeight="false" outlineLevel="0" collapsed="false">
      <c r="B5" s="32" t="s">
        <v>156</v>
      </c>
      <c r="C5" s="32" t="s">
        <v>130</v>
      </c>
      <c r="D5" s="32" t="s">
        <v>157</v>
      </c>
    </row>
    <row r="6" customFormat="false" ht="15" hidden="false" customHeight="false" outlineLevel="0" collapsed="false">
      <c r="B6" s="6" t="s">
        <v>158</v>
      </c>
      <c r="C6" s="33" t="n">
        <f aca="false">Assumptions!$C$65</f>
        <v>27</v>
      </c>
    </row>
    <row r="7" customFormat="false" ht="15" hidden="false" customHeight="false" outlineLevel="0" collapsed="false">
      <c r="B7" s="6" t="s">
        <v>159</v>
      </c>
      <c r="C7" s="13" t="n">
        <f aca="false">C6*Assumptions!$C$66</f>
        <v>94500000</v>
      </c>
      <c r="D7" s="34" t="s">
        <v>160</v>
      </c>
    </row>
    <row r="8" customFormat="false" ht="15" hidden="false" customHeight="false" outlineLevel="0" collapsed="false">
      <c r="B8" s="6" t="s">
        <v>161</v>
      </c>
      <c r="C8" s="8" t="n">
        <f aca="false">-Assumptions!$C$11</f>
        <v>-73600000</v>
      </c>
      <c r="D8" s="34" t="s">
        <v>162</v>
      </c>
    </row>
    <row r="9" customFormat="false" ht="15" hidden="false" customHeight="false" outlineLevel="0" collapsed="false">
      <c r="B9" s="35" t="s">
        <v>163</v>
      </c>
      <c r="C9" s="36" t="n">
        <f aca="false">C7+C8</f>
        <v>20900000</v>
      </c>
    </row>
    <row r="11" customFormat="false" ht="15" hidden="false" customHeight="false" outlineLevel="0" collapsed="false">
      <c r="B11" s="6" t="s">
        <v>101</v>
      </c>
      <c r="C11" s="8" t="n">
        <f aca="false">-Assumptions!$C$67</f>
        <v>-3500000</v>
      </c>
      <c r="D11" s="37" t="s">
        <v>164</v>
      </c>
    </row>
    <row r="12" customFormat="false" ht="15" hidden="false" customHeight="false" outlineLevel="0" collapsed="false">
      <c r="B12" s="6" t="s">
        <v>165</v>
      </c>
      <c r="C12" s="8" t="n">
        <f aca="false">-Assumptions!$C$68</f>
        <v>-2000000</v>
      </c>
      <c r="D12" s="37" t="s">
        <v>164</v>
      </c>
    </row>
    <row r="13" customFormat="false" ht="15" hidden="false" customHeight="false" outlineLevel="0" collapsed="false">
      <c r="B13" s="6" t="s">
        <v>103</v>
      </c>
      <c r="C13" s="8" t="n">
        <f aca="false">-Assumptions!$C$69</f>
        <v>-3500000</v>
      </c>
      <c r="D13" s="37" t="s">
        <v>164</v>
      </c>
    </row>
    <row r="14" customFormat="false" ht="15" hidden="false" customHeight="false" outlineLevel="0" collapsed="false">
      <c r="B14" s="6" t="s">
        <v>104</v>
      </c>
      <c r="C14" s="8" t="n">
        <f aca="false">-Assumptions!$C$70</f>
        <v>-2000000</v>
      </c>
      <c r="D14" s="37" t="s">
        <v>164</v>
      </c>
    </row>
    <row r="15" customFormat="false" ht="15" hidden="false" customHeight="false" outlineLevel="0" collapsed="false">
      <c r="B15" s="6" t="s">
        <v>105</v>
      </c>
      <c r="C15" s="8" t="n">
        <f aca="false">-Assumptions!$C$71</f>
        <v>-500000</v>
      </c>
      <c r="D15" s="37" t="s">
        <v>164</v>
      </c>
    </row>
    <row r="16" customFormat="false" ht="15" hidden="false" customHeight="false" outlineLevel="0" collapsed="false">
      <c r="B16" s="6" t="s">
        <v>166</v>
      </c>
      <c r="C16" s="8" t="n">
        <f aca="false">-Assumptions!$C$72</f>
        <v>-1500000</v>
      </c>
      <c r="D16" s="37" t="s">
        <v>164</v>
      </c>
    </row>
    <row r="17" customFormat="false" ht="15" hidden="false" customHeight="false" outlineLevel="0" collapsed="false">
      <c r="B17" s="6" t="s">
        <v>107</v>
      </c>
      <c r="C17" s="8" t="n">
        <f aca="false">-Assumptions!$C$73</f>
        <v>-800000</v>
      </c>
      <c r="D17" s="37" t="s">
        <v>164</v>
      </c>
    </row>
    <row r="18" customFormat="false" ht="15" hidden="false" customHeight="false" outlineLevel="0" collapsed="false">
      <c r="B18" s="9" t="s">
        <v>167</v>
      </c>
      <c r="C18" s="13" t="n">
        <f aca="false">SUM(C11:C17)</f>
        <v>-13800000</v>
      </c>
    </row>
    <row r="19" customFormat="false" ht="15" hidden="false" customHeight="false" outlineLevel="0" collapsed="false">
      <c r="B19" s="6" t="s">
        <v>168</v>
      </c>
      <c r="C19" s="8" t="n">
        <f aca="false">MAX(C18,-Assumptions!$C$77)</f>
        <v>-3000000</v>
      </c>
    </row>
    <row r="20" customFormat="false" ht="15" hidden="false" customHeight="false" outlineLevel="0" collapsed="false">
      <c r="B20" s="6" t="s">
        <v>169</v>
      </c>
      <c r="C20" s="13" t="n">
        <f aca="false">-(C18-C19)</f>
        <v>10800000</v>
      </c>
    </row>
    <row r="22" customFormat="false" ht="15" hidden="false" customHeight="false" outlineLevel="0" collapsed="false">
      <c r="B22" s="6" t="s">
        <v>170</v>
      </c>
      <c r="C22" s="13" t="n">
        <f aca="false">-C7*Assumptions!$C$74</f>
        <v>-4725000</v>
      </c>
      <c r="D22" s="34" t="s">
        <v>171</v>
      </c>
    </row>
    <row r="23" customFormat="false" ht="15" hidden="false" customHeight="false" outlineLevel="0" collapsed="false">
      <c r="B23" s="6" t="s">
        <v>172</v>
      </c>
      <c r="C23" s="13" t="n">
        <f aca="false">-C7*(Assumptions!$C$75+Assumptions!$C$76)</f>
        <v>-4063500</v>
      </c>
      <c r="D23" s="34" t="s">
        <v>171</v>
      </c>
    </row>
    <row r="25" customFormat="false" ht="15" hidden="false" customHeight="false" outlineLevel="0" collapsed="false">
      <c r="B25" s="35" t="s">
        <v>173</v>
      </c>
      <c r="C25" s="36" t="n">
        <f aca="false">C9+C19+C22+C23</f>
        <v>9111500</v>
      </c>
    </row>
    <row r="26" customFormat="false" ht="15" hidden="false" customHeight="false" outlineLevel="0" collapsed="false">
      <c r="B26" s="38" t="s">
        <v>174</v>
      </c>
      <c r="C26" s="39" t="n">
        <f aca="false">IF(C25&gt;0,C25,"฿0 — no profit to transfer at this fee/cost rate")</f>
        <v>9111500</v>
      </c>
    </row>
    <row r="28" customFormat="false" ht="27.75" hidden="false" customHeight="true" outlineLevel="0" collapsed="false">
      <c r="B28" s="29" t="s">
        <v>175</v>
      </c>
      <c r="C28" s="29"/>
      <c r="D28" s="29"/>
      <c r="E28" s="29"/>
    </row>
  </sheetData>
  <mergeCells count="1">
    <mergeCell ref="B28:E28"/>
  </mergeCells>
  <conditionalFormatting sqref="C26">
    <cfRule type="expression" priority="2" aboveAverage="0" equalAverage="0" bottom="0" percent="0" rank="0" text="" dxfId="0">
      <formula>C25&lt;=0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176</v>
      </c>
    </row>
    <row r="3" customFormat="false" ht="15" hidden="false" customHeight="false" outlineLevel="0" collapsed="false">
      <c r="B3" s="2" t="s">
        <v>177</v>
      </c>
    </row>
    <row r="5" customFormat="false" ht="15.75" hidden="false" customHeight="true" outlineLevel="0" collapsed="false">
      <c r="B5" s="9" t="s">
        <v>55</v>
      </c>
      <c r="C5" s="17" t="s">
        <v>56</v>
      </c>
      <c r="D5" s="17" t="s">
        <v>57</v>
      </c>
      <c r="E5" s="17" t="s">
        <v>58</v>
      </c>
      <c r="F5" s="17" t="s">
        <v>59</v>
      </c>
      <c r="G5" s="17" t="s">
        <v>60</v>
      </c>
      <c r="H5" s="9" t="s">
        <v>61</v>
      </c>
    </row>
    <row r="6" customFormat="false" ht="18" hidden="false" customHeight="true" outlineLevel="0" collapsed="false">
      <c r="B6" s="5" t="s">
        <v>178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B7" s="40" t="s">
        <v>179</v>
      </c>
      <c r="C7" s="8" t="n">
        <f aca="false">Assumptions!$C$19*Assumptions!$C$24*12</f>
        <v>2700000</v>
      </c>
      <c r="D7" s="8" t="n">
        <f aca="false">Assumptions!$D$19*Assumptions!$C$24*12</f>
        <v>3960000</v>
      </c>
      <c r="E7" s="8" t="n">
        <f aca="false">Assumptions!$E$19*Assumptions!$C$24*12</f>
        <v>5040000</v>
      </c>
      <c r="F7" s="8" t="n">
        <f aca="false">Assumptions!$F$19*Assumptions!$C$24*12</f>
        <v>5760000</v>
      </c>
      <c r="G7" s="8" t="n">
        <f aca="false">Assumptions!$G$19*Assumptions!$C$24*12</f>
        <v>6300000</v>
      </c>
    </row>
    <row r="8" customFormat="false" ht="15" hidden="false" customHeight="false" outlineLevel="0" collapsed="false">
      <c r="B8" s="40" t="s">
        <v>180</v>
      </c>
      <c r="C8" s="8" t="n">
        <f aca="false">Assumptions!$C$20*Assumptions!$C$25</f>
        <v>600000</v>
      </c>
      <c r="D8" s="8" t="n">
        <f aca="false">Assumptions!$D$20*Assumptions!$C$25</f>
        <v>1050000</v>
      </c>
      <c r="E8" s="8" t="n">
        <f aca="false">Assumptions!$E$20*Assumptions!$C$25</f>
        <v>1350000</v>
      </c>
      <c r="F8" s="8" t="n">
        <f aca="false">Assumptions!$F$20*Assumptions!$C$25</f>
        <v>1650000</v>
      </c>
      <c r="G8" s="8" t="n">
        <f aca="false">Assumptions!$G$20*Assumptions!$C$25</f>
        <v>1800000</v>
      </c>
    </row>
    <row r="9" customFormat="false" ht="15" hidden="false" customHeight="false" outlineLevel="0" collapsed="false">
      <c r="B9" s="40" t="s">
        <v>181</v>
      </c>
      <c r="C9" s="8" t="n">
        <f aca="false">Assumptions!$C$20*Assumptions!$C$26*Assumptions!$C$27</f>
        <v>280000</v>
      </c>
      <c r="D9" s="8" t="n">
        <f aca="false">Assumptions!$D$20*Assumptions!$C$26*Assumptions!$C$27</f>
        <v>490000</v>
      </c>
      <c r="E9" s="8" t="n">
        <f aca="false">Assumptions!$E$20*Assumptions!$C$26*Assumptions!$C$27</f>
        <v>630000</v>
      </c>
      <c r="F9" s="8" t="n">
        <f aca="false">Assumptions!$F$20*Assumptions!$C$26*Assumptions!$C$27</f>
        <v>770000</v>
      </c>
      <c r="G9" s="8" t="n">
        <f aca="false">Assumptions!$G$20*Assumptions!$C$26*Assumptions!$C$27</f>
        <v>840000</v>
      </c>
    </row>
    <row r="10" customFormat="false" ht="15" hidden="false" customHeight="false" outlineLevel="0" collapsed="false">
      <c r="B10" s="40" t="s">
        <v>73</v>
      </c>
      <c r="C10" s="8" t="n">
        <f aca="false">Assumptions!$C$32</f>
        <v>1200000</v>
      </c>
      <c r="D10" s="8" t="n">
        <f aca="false">Assumptions!$D$32</f>
        <v>1400000</v>
      </c>
      <c r="E10" s="8" t="n">
        <f aca="false">Assumptions!$E$32</f>
        <v>1600000</v>
      </c>
      <c r="F10" s="8" t="n">
        <f aca="false">Assumptions!$F$32</f>
        <v>1800000</v>
      </c>
      <c r="G10" s="8" t="n">
        <f aca="false">Assumptions!$G$32</f>
        <v>2000000</v>
      </c>
    </row>
    <row r="11" customFormat="false" ht="15" hidden="false" customHeight="false" outlineLevel="0" collapsed="false">
      <c r="B11" s="40" t="s">
        <v>74</v>
      </c>
      <c r="C11" s="8" t="n">
        <f aca="false">Assumptions!$C$33</f>
        <v>800000</v>
      </c>
      <c r="D11" s="8" t="n">
        <f aca="false">Assumptions!$D$33</f>
        <v>1200000</v>
      </c>
      <c r="E11" s="8" t="n">
        <f aca="false">Assumptions!$E$33</f>
        <v>1700000</v>
      </c>
      <c r="F11" s="8" t="n">
        <f aca="false">Assumptions!$F$33</f>
        <v>2100000</v>
      </c>
      <c r="G11" s="8" t="n">
        <f aca="false">Assumptions!$G$33</f>
        <v>2500000</v>
      </c>
    </row>
    <row r="12" customFormat="false" ht="15" hidden="false" customHeight="false" outlineLevel="0" collapsed="false">
      <c r="B12" s="40" t="s">
        <v>182</v>
      </c>
      <c r="C12" s="8" t="n">
        <f aca="false">MAX(IFERROR('32-rai Economics'!$C$25*((Assumptions!$C$55)-(0))/Assumptions!$G$55,0),0)</f>
        <v>3416812.5</v>
      </c>
      <c r="D12" s="8" t="n">
        <f aca="false">MAX(IFERROR('32-rai Economics'!$C$25*((Assumptions!$D$55)-(Assumptions!$C$55))/Assumptions!$G$55,0),0)</f>
        <v>2847343.75</v>
      </c>
      <c r="E12" s="8" t="n">
        <f aca="false">MAX(IFERROR('32-rai Economics'!$C$25*((Assumptions!$E$55)-(Assumptions!$D$55))/Assumptions!$G$55,0),0)</f>
        <v>2847343.75</v>
      </c>
      <c r="F12" s="8" t="n">
        <f aca="false">MAX(IFERROR('32-rai Economics'!$C$25*((Assumptions!$F$55)-(Assumptions!$E$55))/Assumptions!$G$55,0),0)</f>
        <v>0</v>
      </c>
      <c r="G12" s="8" t="n">
        <f aca="false">MAX(IFERROR('32-rai Economics'!$C$25*((Assumptions!$G$55)-(Assumptions!$F$55))/Assumptions!$G$55,0),0)</f>
        <v>0</v>
      </c>
      <c r="H12" s="11" t="s">
        <v>183</v>
      </c>
    </row>
    <row r="13" customFormat="false" ht="15" hidden="false" customHeight="false" outlineLevel="0" collapsed="false">
      <c r="B13" s="27" t="s">
        <v>184</v>
      </c>
      <c r="C13" s="28" t="n">
        <f aca="false">SUM(C7:C12)</f>
        <v>8996812.5</v>
      </c>
      <c r="D13" s="28" t="n">
        <f aca="false">SUM(D7:D12)</f>
        <v>10947343.75</v>
      </c>
      <c r="E13" s="28" t="n">
        <f aca="false">SUM(E7:E12)</f>
        <v>13167343.75</v>
      </c>
      <c r="F13" s="28" t="n">
        <f aca="false">SUM(F7:F12)</f>
        <v>12080000</v>
      </c>
      <c r="G13" s="28" t="n">
        <f aca="false">SUM(G7:G12)</f>
        <v>13440000</v>
      </c>
    </row>
    <row r="15" customFormat="false" ht="18" hidden="false" customHeight="true" outlineLevel="0" collapsed="false">
      <c r="B15" s="5" t="s">
        <v>185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B16" s="40" t="s">
        <v>186</v>
      </c>
      <c r="C16" s="8" t="n">
        <f aca="false">Assumptions!$C$34</f>
        <v>3200000</v>
      </c>
      <c r="D16" s="8" t="n">
        <f aca="false">Assumptions!$D$34</f>
        <v>3600000</v>
      </c>
      <c r="E16" s="8" t="n">
        <f aca="false">Assumptions!$E$34</f>
        <v>4000000</v>
      </c>
      <c r="F16" s="8" t="n">
        <f aca="false">Assumptions!$F$34</f>
        <v>4300000</v>
      </c>
      <c r="G16" s="8" t="n">
        <f aca="false">Assumptions!$G$34</f>
        <v>4600000</v>
      </c>
    </row>
    <row r="17" customFormat="false" ht="15" hidden="false" customHeight="false" outlineLevel="0" collapsed="false">
      <c r="B17" s="40" t="s">
        <v>76</v>
      </c>
      <c r="C17" s="8" t="n">
        <f aca="false">Assumptions!$C$35</f>
        <v>600000</v>
      </c>
      <c r="D17" s="8" t="n">
        <f aca="false">Assumptions!$D$35</f>
        <v>900000</v>
      </c>
      <c r="E17" s="8" t="n">
        <f aca="false">Assumptions!$E$35</f>
        <v>1200000</v>
      </c>
      <c r="F17" s="8" t="n">
        <f aca="false">Assumptions!$F$35</f>
        <v>1400000</v>
      </c>
      <c r="G17" s="8" t="n">
        <f aca="false">Assumptions!$G$35</f>
        <v>1600000</v>
      </c>
    </row>
    <row r="18" customFormat="false" ht="15" hidden="false" customHeight="false" outlineLevel="0" collapsed="false">
      <c r="B18" s="40" t="s">
        <v>187</v>
      </c>
      <c r="C18" s="8" t="n">
        <f aca="false">Assumptions!$C$19*Assumptions!$C$28*12</f>
        <v>810000</v>
      </c>
      <c r="D18" s="8" t="n">
        <f aca="false">Assumptions!$D$19*Assumptions!$C$28*12</f>
        <v>1188000</v>
      </c>
      <c r="E18" s="8" t="n">
        <f aca="false">Assumptions!$E$19*Assumptions!$C$28*12</f>
        <v>1512000</v>
      </c>
      <c r="F18" s="8" t="n">
        <f aca="false">Assumptions!$F$19*Assumptions!$C$28*12</f>
        <v>1728000</v>
      </c>
      <c r="G18" s="8" t="n">
        <f aca="false">Assumptions!$G$19*Assumptions!$C$28*12</f>
        <v>1890000</v>
      </c>
    </row>
    <row r="19" customFormat="false" ht="15" hidden="false" customHeight="false" outlineLevel="0" collapsed="false">
      <c r="B19" s="40" t="s">
        <v>77</v>
      </c>
      <c r="C19" s="8" t="n">
        <f aca="false">Assumptions!$C$36</f>
        <v>350000</v>
      </c>
      <c r="D19" s="8" t="n">
        <f aca="false">Assumptions!$D$36</f>
        <v>400000</v>
      </c>
      <c r="E19" s="8" t="n">
        <f aca="false">Assumptions!$E$36</f>
        <v>450000</v>
      </c>
      <c r="F19" s="8" t="n">
        <f aca="false">Assumptions!$F$36</f>
        <v>480000</v>
      </c>
      <c r="G19" s="8" t="n">
        <f aca="false">Assumptions!$G$36</f>
        <v>500000</v>
      </c>
    </row>
    <row r="20" customFormat="false" ht="15" hidden="false" customHeight="false" outlineLevel="0" collapsed="false">
      <c r="B20" s="40" t="s">
        <v>78</v>
      </c>
      <c r="C20" s="8" t="n">
        <f aca="false">Assumptions!$C$37</f>
        <v>300000</v>
      </c>
      <c r="D20" s="8" t="n">
        <f aca="false">Assumptions!$D$37</f>
        <v>320000</v>
      </c>
      <c r="E20" s="8" t="n">
        <f aca="false">Assumptions!$E$37</f>
        <v>340000</v>
      </c>
      <c r="F20" s="8" t="n">
        <f aca="false">Assumptions!$F$37</f>
        <v>360000</v>
      </c>
      <c r="G20" s="8" t="n">
        <f aca="false">Assumptions!$G$37</f>
        <v>380000</v>
      </c>
    </row>
    <row r="21" customFormat="false" ht="15" hidden="false" customHeight="false" outlineLevel="0" collapsed="false">
      <c r="B21" s="27" t="s">
        <v>188</v>
      </c>
      <c r="C21" s="28" t="n">
        <f aca="false">SUM(C16:C20)</f>
        <v>5260000</v>
      </c>
      <c r="D21" s="28" t="n">
        <f aca="false">SUM(D16:D20)</f>
        <v>6408000</v>
      </c>
      <c r="E21" s="28" t="n">
        <f aca="false">SUM(E16:E20)</f>
        <v>7502000</v>
      </c>
      <c r="F21" s="28" t="n">
        <f aca="false">SUM(F16:F20)</f>
        <v>8268000</v>
      </c>
      <c r="G21" s="28" t="n">
        <f aca="false">SUM(G16:G20)</f>
        <v>8970000</v>
      </c>
    </row>
    <row r="23" customFormat="false" ht="15" hidden="false" customHeight="false" outlineLevel="0" collapsed="false">
      <c r="B23" s="27" t="s">
        <v>189</v>
      </c>
      <c r="C23" s="28" t="n">
        <f aca="false">C13-C21</f>
        <v>3736812.5</v>
      </c>
      <c r="D23" s="28" t="n">
        <f aca="false">D13-D21</f>
        <v>4539343.75</v>
      </c>
      <c r="E23" s="28" t="n">
        <f aca="false">E13-E21</f>
        <v>5665343.75</v>
      </c>
      <c r="F23" s="28" t="n">
        <f aca="false">F13-F21</f>
        <v>3812000</v>
      </c>
      <c r="G23" s="28" t="n">
        <f aca="false">G13-G21</f>
        <v>4470000</v>
      </c>
    </row>
    <row r="25" customFormat="false" ht="27.75" hidden="false" customHeight="true" outlineLevel="0" collapsed="false">
      <c r="B25" s="29" t="s">
        <v>190</v>
      </c>
      <c r="C25" s="29"/>
      <c r="D25" s="29"/>
      <c r="E25" s="29"/>
      <c r="F25" s="29"/>
      <c r="G25" s="29"/>
    </row>
  </sheetData>
  <mergeCells count="3">
    <mergeCell ref="B6:H6"/>
    <mergeCell ref="B15:H15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8" min="3" style="0" width="16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191</v>
      </c>
    </row>
    <row r="3" customFormat="false" ht="15" hidden="false" customHeight="false" outlineLevel="0" collapsed="false">
      <c r="B3" s="2" t="s">
        <v>192</v>
      </c>
    </row>
    <row r="5" customFormat="false" ht="15.75" hidden="false" customHeight="true" outlineLevel="0" collapsed="false">
      <c r="B5" s="9" t="s">
        <v>55</v>
      </c>
      <c r="C5" s="17" t="s">
        <v>56</v>
      </c>
      <c r="D5" s="17" t="s">
        <v>57</v>
      </c>
      <c r="E5" s="17" t="s">
        <v>58</v>
      </c>
      <c r="F5" s="17" t="s">
        <v>59</v>
      </c>
      <c r="G5" s="17" t="s">
        <v>60</v>
      </c>
      <c r="H5" s="9" t="s">
        <v>61</v>
      </c>
    </row>
    <row r="6" customFormat="false" ht="18" hidden="false" customHeight="true" outlineLevel="0" collapsed="false">
      <c r="B6" s="20" t="s">
        <v>178</v>
      </c>
      <c r="C6" s="20"/>
      <c r="D6" s="20"/>
      <c r="E6" s="20"/>
      <c r="F6" s="20"/>
      <c r="G6" s="20"/>
      <c r="H6" s="20"/>
    </row>
    <row r="7" customFormat="false" ht="15" hidden="false" customHeight="false" outlineLevel="0" collapsed="false">
      <c r="B7" s="40" t="s">
        <v>193</v>
      </c>
      <c r="C7" s="8" t="n">
        <f aca="false">Assumptions!$C$40*Assumptions!$C$43*Assumptions!$C$41*365</f>
        <v>410625</v>
      </c>
      <c r="D7" s="8" t="n">
        <f aca="false">Assumptions!$C$40*Assumptions!$D$43*Assumptions!$C$41*365</f>
        <v>684375</v>
      </c>
      <c r="E7" s="8" t="n">
        <f aca="false">Assumptions!$C$40*Assumptions!$E$43*Assumptions!$C$41*365</f>
        <v>958125</v>
      </c>
      <c r="F7" s="8" t="n">
        <f aca="false">Assumptions!$C$40*Assumptions!$F$43*Assumptions!$C$41*365</f>
        <v>1095000</v>
      </c>
      <c r="G7" s="8" t="n">
        <f aca="false">Assumptions!$C$40*Assumptions!$G$43*Assumptions!$C$41*365</f>
        <v>1149750</v>
      </c>
    </row>
    <row r="8" customFormat="false" ht="15" hidden="false" customHeight="false" outlineLevel="0" collapsed="false">
      <c r="B8" s="40" t="s">
        <v>194</v>
      </c>
      <c r="C8" s="8" t="n">
        <f aca="false">Assumptions!$C$44*Assumptions!$C$47*Assumptions!$C$45*365</f>
        <v>116800</v>
      </c>
      <c r="D8" s="8" t="n">
        <f aca="false">Assumptions!$C$44*Assumptions!$D$47*Assumptions!$C$45*365</f>
        <v>210240</v>
      </c>
      <c r="E8" s="8" t="n">
        <f aca="false">Assumptions!$C$44*Assumptions!$E$47*Assumptions!$C$45*365</f>
        <v>292000</v>
      </c>
      <c r="F8" s="8" t="n">
        <f aca="false">Assumptions!$C$44*Assumptions!$F$47*Assumptions!$C$45*365</f>
        <v>350400</v>
      </c>
      <c r="G8" s="8" t="n">
        <f aca="false">Assumptions!$C$44*Assumptions!$G$47*Assumptions!$C$45*365</f>
        <v>373760</v>
      </c>
    </row>
    <row r="9" customFormat="false" ht="15" hidden="false" customHeight="false" outlineLevel="0" collapsed="false">
      <c r="B9" s="40" t="s">
        <v>195</v>
      </c>
      <c r="C9" s="8" t="n">
        <f aca="false">Assumptions!$C$48*Assumptions!$C$51*Assumptions!$C$49*365</f>
        <v>246375</v>
      </c>
      <c r="D9" s="8" t="n">
        <f aca="false">Assumptions!$C$48*Assumptions!$D$51*Assumptions!$C$49*365</f>
        <v>410625</v>
      </c>
      <c r="E9" s="8" t="n">
        <f aca="false">Assumptions!$C$48*Assumptions!$E$51*Assumptions!$C$49*365</f>
        <v>574875</v>
      </c>
      <c r="F9" s="8" t="n">
        <f aca="false">Assumptions!$C$48*Assumptions!$F$51*Assumptions!$C$49*365</f>
        <v>657000</v>
      </c>
      <c r="G9" s="8" t="n">
        <f aca="false">Assumptions!$C$48*Assumptions!$G$51*Assumptions!$C$49*365</f>
        <v>689850</v>
      </c>
    </row>
    <row r="10" customFormat="false" ht="15" hidden="false" customHeight="false" outlineLevel="0" collapsed="false">
      <c r="B10" s="40" t="s">
        <v>196</v>
      </c>
      <c r="C10" s="8" t="n">
        <f aca="false">Assumptions!$C$20*Assumptions!$C$56+Assumptions!$C$55*Assumptions!$C$57</f>
        <v>168000</v>
      </c>
      <c r="D10" s="8" t="n">
        <f aca="false">Assumptions!$D$20*Assumptions!$C$56+Assumptions!$D$55*Assumptions!$C$57</f>
        <v>298000</v>
      </c>
      <c r="E10" s="8" t="n">
        <f aca="false">Assumptions!$E$20*Assumptions!$C$56+Assumptions!$E$55*Assumptions!$C$57</f>
        <v>398000</v>
      </c>
      <c r="F10" s="8" t="n">
        <f aca="false">Assumptions!$F$20*Assumptions!$C$56+Assumptions!$F$55*Assumptions!$C$57</f>
        <v>458000</v>
      </c>
      <c r="G10" s="8" t="n">
        <f aca="false">Assumptions!$G$20*Assumptions!$C$56+Assumptions!$G$55*Assumptions!$C$57</f>
        <v>488000</v>
      </c>
    </row>
    <row r="11" customFormat="false" ht="15" hidden="false" customHeight="false" outlineLevel="0" collapsed="false">
      <c r="B11" s="40" t="s">
        <v>197</v>
      </c>
      <c r="C11" s="8" t="n">
        <f aca="false">Assumptions!$C$55*Assumptions!$C$58</f>
        <v>180000</v>
      </c>
      <c r="D11" s="8" t="n">
        <f aca="false">Assumptions!$D$55*Assumptions!$C$58</f>
        <v>330000</v>
      </c>
      <c r="E11" s="8" t="n">
        <f aca="false">Assumptions!$E$55*Assumptions!$C$58</f>
        <v>480000</v>
      </c>
      <c r="F11" s="8" t="n">
        <f aca="false">Assumptions!$F$55*Assumptions!$C$58</f>
        <v>480000</v>
      </c>
      <c r="G11" s="8" t="n">
        <f aca="false">Assumptions!$G$55*Assumptions!$C$58</f>
        <v>480000</v>
      </c>
    </row>
    <row r="12" customFormat="false" ht="15" hidden="false" customHeight="false" outlineLevel="0" collapsed="false">
      <c r="B12" s="35" t="s">
        <v>184</v>
      </c>
      <c r="C12" s="36" t="n">
        <f aca="false">SUM(C7:C11)</f>
        <v>1121800</v>
      </c>
      <c r="D12" s="36" t="n">
        <f aca="false">SUM(D7:D11)</f>
        <v>1933240</v>
      </c>
      <c r="E12" s="36" t="n">
        <f aca="false">SUM(E7:E11)</f>
        <v>2703000</v>
      </c>
      <c r="F12" s="36" t="n">
        <f aca="false">SUM(F7:F11)</f>
        <v>3040400</v>
      </c>
      <c r="G12" s="36" t="n">
        <f aca="false">SUM(G7:G11)</f>
        <v>3181360</v>
      </c>
    </row>
    <row r="14" customFormat="false" ht="18" hidden="false" customHeight="true" outlineLevel="0" collapsed="false">
      <c r="B14" s="20" t="s">
        <v>185</v>
      </c>
      <c r="C14" s="20"/>
      <c r="D14" s="20"/>
      <c r="E14" s="20"/>
      <c r="F14" s="20"/>
      <c r="G14" s="20"/>
      <c r="H14" s="20"/>
    </row>
    <row r="15" customFormat="false" ht="15" hidden="false" customHeight="false" outlineLevel="0" collapsed="false">
      <c r="B15" s="40" t="s">
        <v>198</v>
      </c>
      <c r="C15" s="8" t="n">
        <f aca="false">Assumptions!$C$59</f>
        <v>900000</v>
      </c>
      <c r="D15" s="8" t="n">
        <f aca="false">Assumptions!$D$59</f>
        <v>1100000</v>
      </c>
      <c r="E15" s="8" t="n">
        <f aca="false">Assumptions!$E$59</f>
        <v>1300000</v>
      </c>
      <c r="F15" s="8" t="n">
        <f aca="false">Assumptions!$F$59</f>
        <v>1400000</v>
      </c>
      <c r="G15" s="8" t="n">
        <f aca="false">Assumptions!$G$59</f>
        <v>1450000</v>
      </c>
    </row>
    <row r="16" customFormat="false" ht="15" hidden="false" customHeight="false" outlineLevel="0" collapsed="false">
      <c r="B16" s="40" t="s">
        <v>199</v>
      </c>
      <c r="C16" s="8" t="n">
        <f aca="false">Assumptions!$C$60</f>
        <v>200000</v>
      </c>
      <c r="D16" s="8" t="n">
        <f aca="false">Assumptions!$D$60</f>
        <v>350000</v>
      </c>
      <c r="E16" s="8" t="n">
        <f aca="false">Assumptions!$E$60</f>
        <v>500000</v>
      </c>
      <c r="F16" s="8" t="n">
        <f aca="false">Assumptions!$F$60</f>
        <v>550000</v>
      </c>
      <c r="G16" s="8" t="n">
        <f aca="false">Assumptions!$G$60</f>
        <v>600000</v>
      </c>
    </row>
    <row r="17" customFormat="false" ht="15" hidden="false" customHeight="false" outlineLevel="0" collapsed="false">
      <c r="B17" s="35" t="s">
        <v>188</v>
      </c>
      <c r="C17" s="36" t="n">
        <f aca="false">SUM(C15:C16)</f>
        <v>1100000</v>
      </c>
      <c r="D17" s="36" t="n">
        <f aca="false">SUM(D15:D16)</f>
        <v>1450000</v>
      </c>
      <c r="E17" s="36" t="n">
        <f aca="false">SUM(E15:E16)</f>
        <v>1800000</v>
      </c>
      <c r="F17" s="36" t="n">
        <f aca="false">SUM(F15:F16)</f>
        <v>1950000</v>
      </c>
      <c r="G17" s="36" t="n">
        <f aca="false">SUM(G15:G16)</f>
        <v>2050000</v>
      </c>
    </row>
    <row r="19" customFormat="false" ht="15" hidden="false" customHeight="false" outlineLevel="0" collapsed="false">
      <c r="B19" s="35" t="s">
        <v>200</v>
      </c>
      <c r="C19" s="36" t="n">
        <f aca="false">C12-C17</f>
        <v>21800</v>
      </c>
      <c r="D19" s="36" t="n">
        <f aca="false">D12-D17</f>
        <v>483240</v>
      </c>
      <c r="E19" s="36" t="n">
        <f aca="false">E12-E17</f>
        <v>903000</v>
      </c>
      <c r="F19" s="36" t="n">
        <f aca="false">F12-F17</f>
        <v>1090400</v>
      </c>
      <c r="G19" s="36" t="n">
        <f aca="false">G12-G17</f>
        <v>1131360</v>
      </c>
    </row>
  </sheetData>
  <mergeCells count="2">
    <mergeCell ref="B6:H6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8"/>
    <col collapsed="false" customWidth="true" hidden="false" outlineLevel="0" max="8" min="3" style="0" width="15"/>
  </cols>
  <sheetData>
    <row r="1" customFormat="false" ht="6" hidden="false" customHeight="true" outlineLevel="0" collapsed="false"/>
    <row r="2" customFormat="false" ht="22.05" hidden="false" customHeight="false" outlineLevel="0" collapsed="false">
      <c r="B2" s="1" t="s">
        <v>201</v>
      </c>
    </row>
    <row r="3" customFormat="false" ht="15" hidden="false" customHeight="false" outlineLevel="0" collapsed="false">
      <c r="B3" s="2" t="s">
        <v>202</v>
      </c>
    </row>
    <row r="5" customFormat="false" ht="15" hidden="false" customHeight="false" outlineLevel="0" collapsed="false">
      <c r="B5" s="9" t="s">
        <v>36</v>
      </c>
      <c r="C5" s="17" t="s">
        <v>203</v>
      </c>
      <c r="D5" s="17" t="s">
        <v>56</v>
      </c>
      <c r="E5" s="17" t="s">
        <v>57</v>
      </c>
      <c r="F5" s="17" t="s">
        <v>58</v>
      </c>
      <c r="G5" s="17" t="s">
        <v>59</v>
      </c>
      <c r="H5" s="17" t="s">
        <v>60</v>
      </c>
    </row>
    <row r="6" customFormat="false" ht="15" hidden="false" customHeight="false" outlineLevel="0" collapsed="false">
      <c r="B6" s="6" t="s">
        <v>204</v>
      </c>
      <c r="C6" s="8" t="n">
        <f aca="false">-'Sanctuary Capex'!C19</f>
        <v>-54700000</v>
      </c>
      <c r="D6" s="13" t="n">
        <v>0</v>
      </c>
      <c r="E6" s="13" t="n">
        <v>0</v>
      </c>
      <c r="F6" s="13" t="n">
        <v>0</v>
      </c>
      <c r="G6" s="13" t="n">
        <v>0</v>
      </c>
      <c r="H6" s="13" t="n">
        <v>0</v>
      </c>
    </row>
    <row r="7" customFormat="false" ht="15" hidden="false" customHeight="false" outlineLevel="0" collapsed="false">
      <c r="B7" s="6" t="s">
        <v>205</v>
      </c>
      <c r="C7" s="13" t="n">
        <v>0</v>
      </c>
      <c r="D7" s="8" t="n">
        <f aca="false">'Sanctuary P&amp;L'!C23+'Community P&amp;L'!C19</f>
        <v>3758612.5</v>
      </c>
      <c r="E7" s="8" t="n">
        <f aca="false">'Sanctuary P&amp;L'!D23+'Community P&amp;L'!D19</f>
        <v>5022583.75</v>
      </c>
      <c r="F7" s="8" t="n">
        <f aca="false">'Sanctuary P&amp;L'!E23+'Community P&amp;L'!E19</f>
        <v>6568343.75</v>
      </c>
      <c r="G7" s="8" t="n">
        <f aca="false">'Sanctuary P&amp;L'!F23+'Community P&amp;L'!F19</f>
        <v>4902400</v>
      </c>
      <c r="H7" s="8" t="n">
        <f aca="false">'Sanctuary P&amp;L'!G23+'Community P&amp;L'!G19</f>
        <v>5601360</v>
      </c>
    </row>
    <row r="8" customFormat="false" ht="15" hidden="false" customHeight="false" outlineLevel="0" collapsed="false">
      <c r="B8" s="27" t="s">
        <v>37</v>
      </c>
      <c r="C8" s="28" t="n">
        <f aca="false">C6+C7</f>
        <v>-54700000</v>
      </c>
      <c r="D8" s="28" t="n">
        <f aca="false">D6+D7</f>
        <v>3758612.5</v>
      </c>
      <c r="E8" s="28" t="n">
        <f aca="false">E6+E7</f>
        <v>5022583.75</v>
      </c>
      <c r="F8" s="28" t="n">
        <f aca="false">F6+F7</f>
        <v>6568343.75</v>
      </c>
      <c r="G8" s="28" t="n">
        <f aca="false">G6+G7</f>
        <v>4902400</v>
      </c>
      <c r="H8" s="28" t="n">
        <f aca="false">H6+H7</f>
        <v>5601360</v>
      </c>
    </row>
    <row r="9" customFormat="false" ht="15" hidden="false" customHeight="false" outlineLevel="0" collapsed="false">
      <c r="B9" s="35" t="s">
        <v>38</v>
      </c>
      <c r="C9" s="36" t="n">
        <f aca="false">C8</f>
        <v>-54700000</v>
      </c>
      <c r="D9" s="36" t="n">
        <f aca="false">C9+D8</f>
        <v>-50941387.5</v>
      </c>
      <c r="E9" s="36" t="n">
        <f aca="false">D9+E8</f>
        <v>-45918803.75</v>
      </c>
      <c r="F9" s="36" t="n">
        <f aca="false">E9+F8</f>
        <v>-39350460</v>
      </c>
      <c r="G9" s="36" t="n">
        <f aca="false">F9+G8</f>
        <v>-34448060</v>
      </c>
      <c r="H9" s="36" t="n">
        <f aca="false">G9+H8</f>
        <v>-28846700</v>
      </c>
    </row>
    <row r="12" customFormat="false" ht="15" hidden="false" customHeight="false" outlineLevel="0" collapsed="false">
      <c r="B12" s="34" t="s">
        <v>206</v>
      </c>
    </row>
    <row r="13" customFormat="false" ht="15" hidden="false" customHeight="false" outlineLevel="0" collapsed="false">
      <c r="B13" s="34" t="s">
        <v>207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2026-09-09T16:38:30Z</dcterms:created>
  <dc:creator>openpyxl</dc:creator>
  <dc:description/>
  <dc:language>en-US</dc:language>
  <cp:lastModifiedBy/>
  <dcterms:modified xsi:type="dcterms:W3CDTF">2026-09-09T16:38:32Z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