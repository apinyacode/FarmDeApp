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Assumptions" sheetId="2" state="visible" r:id="rId4"/>
    <sheet name="Capex" sheetId="3" state="visible" r:id="rId5"/>
    <sheet name="Operating P&amp;L" sheetId="4" state="visible" r:id="rId6"/>
    <sheet name="Cash Flow" sheetId="5" state="visible" r:id="rId7"/>
    <sheet name="Summary"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<sst xmlns="http://schemas.openxmlformats.org/spreadsheetml/2006/main" count="181" uniqueCount="124">
  <si>
    <t xml:space="preserve">Farm De Rai — Rent-to-Buy Model</t>
  </si>
  <si>
    <t xml:space="preserve">How to use this workbook</t>
  </si>
  <si>
    <t xml:space="preserve">This is a standalone ALTERNATIVE to the horse sanctuary / land-purchase plan — a different business</t>
  </si>
  <si>
    <t xml:space="preserve">(farm-stay + EV charging + restaurant) on the same 42 rai, leased first and purchased at Year 5.</t>
  </si>
  <si>
    <t xml:space="preserve">Change any blue number and every sheet, including the Summary chart, recalculates.</t>
  </si>
  <si>
    <t xml:space="preserve">Color legend</t>
  </si>
  <si>
    <t xml:space="preserve">   Blue text = an input you can change</t>
  </si>
  <si>
    <t xml:space="preserve">   Black text = a formula</t>
  </si>
  <si>
    <t xml:space="preserve">   Green text = a link pulling a value from another sheet</t>
  </si>
  <si>
    <t xml:space="preserve">   Pale yellow fill = a key assumption worth double-checking before you rely on this model</t>
  </si>
  <si>
    <t xml:space="preserve">Sheet guide</t>
  </si>
  <si>
    <t xml:space="preserve">   Assumptions — land rent, occupancy/utilization ramps, pricing, staffing, and the Year-5 buy/sell terms</t>
  </si>
  <si>
    <t xml:space="preserve">   Capex        — the ~฿ 38.0M upfront build cost, itemized (no land purchase — that happens at Year 5)</t>
  </si>
  <si>
    <t xml:space="preserve">   Operating P&amp;L — 5-year revenue (4 streams) and operating cost</t>
  </si>
  <si>
    <t xml:space="preserve">   Cash Flow    — capex + 5 years of operating cash flow + the Year-5 terminal buy/sell transaction</t>
  </si>
  <si>
    <t xml:space="preserve">   Summary      — the one-page dashboard: key numbers + the cash-flow chart</t>
  </si>
  <si>
    <t xml:space="preserve">All figures are planning-level estimates — verify the actual lease/purchase-option terms with the owner,</t>
  </si>
  <si>
    <t xml:space="preserve">real construction/procurement quotes, and grid capacity for the fast chargers before relying on this.</t>
  </si>
  <si>
    <t xml:space="preserve">Assumptions</t>
  </si>
  <si>
    <t xml:space="preserve">Every input the model uses — change values here (blue cells)</t>
  </si>
  <si>
    <t xml:space="preserve">LAND — LEASE (not purchased upfront)</t>
  </si>
  <si>
    <t xml:space="preserve">Total land (rai)</t>
  </si>
  <si>
    <t xml:space="preserve">Rent per rai per year (THB)</t>
  </si>
  <si>
    <t xml:space="preserve">Confirm this is ANNUAL, not monthly</t>
  </si>
  <si>
    <t xml:space="preserve">Lease start date</t>
  </si>
  <si>
    <t xml:space="preserve">FARM-STAY (20 pre-built units)</t>
  </si>
  <si>
    <t xml:space="preserve">Units (count)</t>
  </si>
  <si>
    <t xml:space="preserve">Nightly rate (THB)</t>
  </si>
  <si>
    <t xml:space="preserve">Assumption</t>
  </si>
  <si>
    <t xml:space="preserve">Year 1</t>
  </si>
  <si>
    <t xml:space="preserve">Year 2</t>
  </si>
  <si>
    <t xml:space="preserve">Year 3</t>
  </si>
  <si>
    <t xml:space="preserve">Year 4</t>
  </si>
  <si>
    <t xml:space="preserve">Year 5</t>
  </si>
  <si>
    <t xml:space="preserve">Notes</t>
  </si>
  <si>
    <t xml:space="preserve">Occupancy %</t>
  </si>
  <si>
    <t xml:space="preserve">EV PARK &amp; STAY (10 bays)</t>
  </si>
  <si>
    <t xml:space="preserve">Bays (count)</t>
  </si>
  <si>
    <t xml:space="preserve">FAST CHARGING (5 chargers)</t>
  </si>
  <si>
    <t xml:space="preserve">Chargers (count)</t>
  </si>
  <si>
    <t xml:space="preserve">kWh delivered per session</t>
  </si>
  <si>
    <t xml:space="preserve">Retail price (THB/kWh)</t>
  </si>
  <si>
    <t xml:space="preserve">Wholesale cost (THB/kWh)</t>
  </si>
  <si>
    <t xml:space="preserve">Sessions per charger per day</t>
  </si>
  <si>
    <t xml:space="preserve">RESTAURANT</t>
  </si>
  <si>
    <t xml:space="preserve">Average spend per cover (THB)</t>
  </si>
  <si>
    <t xml:space="preserve">Food &amp; beverage cost (% of restaurant revenue)</t>
  </si>
  <si>
    <t xml:space="preserve">Covers per day</t>
  </si>
  <si>
    <t xml:space="preserve">OPERATING COSTS (per year)</t>
  </si>
  <si>
    <t xml:space="preserve">Staff</t>
  </si>
  <si>
    <t xml:space="preserve">Utilities</t>
  </si>
  <si>
    <t xml:space="preserve">Marketing</t>
  </si>
  <si>
    <t xml:space="preserve">Admin</t>
  </si>
  <si>
    <t xml:space="preserve">Maintenance</t>
  </si>
  <si>
    <t xml:space="preserve">CAPEX (one-time)</t>
  </si>
  <si>
    <t xml:space="preserve">20 pre-built farm-stay units (THB/unit)</t>
  </si>
  <si>
    <t xml:space="preserve">Site infrastructure (roads, water, electrical backbone)</t>
  </si>
  <si>
    <t xml:space="preserve">EV park-and-stay pad (THB/pad)</t>
  </si>
  <si>
    <t xml:space="preserve">DC fast charger, incl. install (THB/charger)</t>
  </si>
  <si>
    <t xml:space="preserve">Restaurant building + kitchen + furnishing</t>
  </si>
  <si>
    <t xml:space="preserve">Reception/admin building</t>
  </si>
  <si>
    <t xml:space="preserve">Equipment &amp; vehicles</t>
  </si>
  <si>
    <t xml:space="preserve">Working capital reserve</t>
  </si>
  <si>
    <t xml:space="preserve">Contingency + legal/permits/lease deposit</t>
  </si>
  <si>
    <t xml:space="preserve">YEAR 5 — TERMINAL TRANSACTION (sell houses, buy land)</t>
  </si>
  <si>
    <t xml:space="preserve">Farm-stay unit resale value (% of original cost)</t>
  </si>
  <si>
    <t xml:space="preserve">Land purchase price at Year 5 (THB, total 42 rai)</t>
  </si>
  <si>
    <t xml:space="preserve">Placeholder: ~2.3M/rai per the owner's earlier pricing — confirm the actual negotiated price</t>
  </si>
  <si>
    <t xml:space="preserve">Rent credited toward purchase price (% of 5-yr rent paid)</t>
  </si>
  <si>
    <t xml:space="preserve">A rent-to-own term worth negotiating with the owner</t>
  </si>
  <si>
    <t xml:space="preserve">Rai gifted to the sanctuary after purchase</t>
  </si>
  <si>
    <t xml:space="preserve">Informational only — no cost impact here; the remaining rai stay with the tourism business</t>
  </si>
  <si>
    <t xml:space="preserve">Capital Expenditure</t>
  </si>
  <si>
    <t xml:space="preserve">~฿ 38.0M upfront — no land purchase in this phase</t>
  </si>
  <si>
    <t xml:space="preserve">Item</t>
  </si>
  <si>
    <t xml:space="preserve">Amount (THB)</t>
  </si>
  <si>
    <t xml:space="preserve">% of total</t>
  </si>
  <si>
    <t xml:space="preserve">20 pre-built farm-stay units</t>
  </si>
  <si>
    <t xml:space="preserve">10 EV park-and-stay pads</t>
  </si>
  <si>
    <t xml:space="preserve">5 DC fast chargers (incl. install)</t>
  </si>
  <si>
    <t xml:space="preserve">TOTAL CAPEX</t>
  </si>
  <si>
    <t xml:space="preserve">5-Year Operating Plan</t>
  </si>
  <si>
    <t xml:space="preserve">Farm-stay + EV park &amp; charging + restaurant, on leased land</t>
  </si>
  <si>
    <t xml:space="preserve">REVENUE</t>
  </si>
  <si>
    <t xml:space="preserve">Farm-stay (units × occ × rate × 365)</t>
  </si>
  <si>
    <t xml:space="preserve">EV park &amp; stay (bays × occ × rate × 365)</t>
  </si>
  <si>
    <t xml:space="preserve">Fast charging (chargers × sessions/day × kWh × price × 365)</t>
  </si>
  <si>
    <t xml:space="preserve">Restaurant (covers/day × avg spend × 365)</t>
  </si>
  <si>
    <t xml:space="preserve">TOTAL REVENUE</t>
  </si>
  <si>
    <t xml:space="preserve">OPERATING COST</t>
  </si>
  <si>
    <t xml:space="preserve">Land rent (42 rai × ฿/rai/yr)</t>
  </si>
  <si>
    <t xml:space="preserve">Food &amp; beverage cost of goods</t>
  </si>
  <si>
    <t xml:space="preserve">Electricity resale cost (wholesale)</t>
  </si>
  <si>
    <t xml:space="preserve">TOTAL OPERATING COST</t>
  </si>
  <si>
    <t xml:space="preserve">NET INCOME</t>
  </si>
  <si>
    <t xml:space="preserve">Cash Flow</t>
  </si>
  <si>
    <t xml:space="preserve">Capex + 5 years of operations + the Year-5 buy/sell transaction</t>
  </si>
  <si>
    <t xml:space="preserve">Period</t>
  </si>
  <si>
    <t xml:space="preserve">Year 0 (capex)</t>
  </si>
  <si>
    <t xml:space="preserve">Capital expenditure</t>
  </si>
  <si>
    <t xml:space="preserve">Operating net income</t>
  </si>
  <si>
    <t xml:space="preserve">Year 5 terminal: sell farm-stay units + buy land</t>
  </si>
  <si>
    <t xml:space="preserve">  = sell farm-stay units (resale value)</t>
  </si>
  <si>
    <t xml:space="preserve">  = rent credited toward purchase</t>
  </si>
  <si>
    <t xml:space="preserve">  = buy the land outright</t>
  </si>
  <si>
    <t xml:space="preserve">Net cash flow</t>
  </si>
  <si>
    <t xml:space="preserve">Cumulative cash position</t>
  </si>
  <si>
    <t xml:space="preserve">The Year-5 column includes the terminal transaction: selling the 20 farm-stay units (est. resale value) plus any rent credited toward the price, minus buying the 42 rai outright. See the breakdown to the right of that row (column H) and the Assumptions sheet for each figure.</t>
  </si>
  <si>
    <t xml:space="preserve">Farm De Rai — Summary</t>
  </si>
  <si>
    <t xml:space="preserve">Live dashboard — change Assumptions and this page updates</t>
  </si>
  <si>
    <t xml:space="preserve">KEY NUMBERS</t>
  </si>
  <si>
    <t xml:space="preserve">Total land (leased, then purchased at Year 5)</t>
  </si>
  <si>
    <t xml:space="preserve">42 rai</t>
  </si>
  <si>
    <t xml:space="preserve">Upfront capital (Capex)</t>
  </si>
  <si>
    <t xml:space="preserve">Annual land rent</t>
  </si>
  <si>
    <t xml:space="preserve">Year 1 net income</t>
  </si>
  <si>
    <t xml:space="preserve">Year 5 net income (operating)</t>
  </si>
  <si>
    <t xml:space="preserve">5-yr cumulative operating profit (before land purchase)</t>
  </si>
  <si>
    <t xml:space="preserve">Year 5 land purchase price (est.)</t>
  </si>
  <si>
    <t xml:space="preserve">Year 5 farm-stay unit resale (est.)</t>
  </si>
  <si>
    <t xml:space="preserve">Cumulative cash position after buying the land</t>
  </si>
  <si>
    <t xml:space="preserve">Rai retained for the tourism business</t>
  </si>
  <si>
    <t xml:space="preserve">CASH FLOW</t>
  </si>
  <si>
    <t xml:space="preserve">This is a planning tool, not a finished bank-ready model. Verify the lease/purchase-option terms with the owner, real construction/procurement quotes, and grid capacity for the fast chargers before relying on this for financing.</t>
  </si>
</sst>
</file>

<file path=xl/styles.xml><?xml version="1.0" encoding="utf-8"?>
<styleSheet xmlns="http://schemas.openxmlformats.org/spreadsheetml/2006/main">
  <numFmts count="5">
    <numFmt numFmtId="164" formatCode="General"/>
    <numFmt numFmtId="165" formatCode="#,##0;\(#,##0\);\-"/>
    <numFmt numFmtId="166" formatCode="\฿#,##0;&quot;(฿&quot;#,##0\);\-"/>
    <numFmt numFmtId="167" formatCode="dd\-mmm\-yy"/>
    <numFmt numFmtId="168" formatCode="0.0%"/>
  </numFmts>
  <fonts count="20">
    <font>
      <sz val="11"/>
      <color theme="1"/>
      <name val="Calibri"/>
      <family val="2"/>
      <charset val="1"/>
    </font>
    <font>
      <sz val="10"/>
      <name val="Arial"/>
      <family val="0"/>
    </font>
    <font>
      <sz val="10"/>
      <name val="Arial"/>
      <family val="0"/>
    </font>
    <font>
      <sz val="10"/>
      <name val="Arial"/>
      <family val="0"/>
    </font>
    <font>
      <b val="true"/>
      <sz val="18"/>
      <color rgb="FF1B3226"/>
      <name val="Arial"/>
      <family val="0"/>
      <charset val="1"/>
    </font>
    <font>
      <i val="true"/>
      <sz val="11"/>
      <color rgb="FF6B6B63"/>
      <name val="Arial"/>
      <family val="0"/>
      <charset val="1"/>
    </font>
    <font>
      <sz val="10"/>
      <color rgb="FF22281F"/>
      <name val="Arial"/>
      <family val="0"/>
      <charset val="1"/>
    </font>
    <font>
      <b val="true"/>
      <sz val="10"/>
      <color rgb="FF22281F"/>
      <name val="Arial"/>
      <family val="0"/>
      <charset val="1"/>
    </font>
    <font>
      <b val="true"/>
      <sz val="11"/>
      <color rgb="FFFFFFFF"/>
      <name val="Arial"/>
      <family val="0"/>
      <charset val="1"/>
    </font>
    <font>
      <sz val="10"/>
      <color rgb="FF0000FF"/>
      <name val="Arial"/>
      <family val="0"/>
      <charset val="1"/>
    </font>
    <font>
      <i val="true"/>
      <sz val="9"/>
      <color rgb="FF6B6B63"/>
      <name val="Arial"/>
      <family val="0"/>
      <charset val="1"/>
    </font>
    <font>
      <sz val="10"/>
      <color rgb="FF008000"/>
      <name val="Arial"/>
      <family val="0"/>
      <charset val="1"/>
    </font>
    <font>
      <sz val="10"/>
      <color rgb="FF000000"/>
      <name val="Arial"/>
      <family val="0"/>
      <charset val="1"/>
    </font>
    <font>
      <b val="true"/>
      <sz val="10.5"/>
      <color rgb="FF22281F"/>
      <name val="Arial"/>
      <family val="0"/>
      <charset val="1"/>
    </font>
    <font>
      <b val="true"/>
      <sz val="18"/>
      <color rgb="FF000000"/>
      <name val="Calibri"/>
      <family val="2"/>
    </font>
    <font>
      <sz val="10"/>
      <color rgb="FF000000"/>
      <name val="Calibri"/>
      <family val="2"/>
    </font>
    <font>
      <i val="true"/>
      <sz val="9.5"/>
      <color rgb="FF6B6B63"/>
      <name val="Arial"/>
      <family val="0"/>
      <charset val="1"/>
    </font>
    <font>
      <i val="true"/>
      <sz val="9.5"/>
      <color rgb="FF2F6B45"/>
      <name val="Arial"/>
      <family val="0"/>
      <charset val="1"/>
    </font>
    <font>
      <i val="true"/>
      <sz val="9.5"/>
      <color rgb="FFC24A78"/>
      <name val="Arial"/>
      <family val="0"/>
      <charset val="1"/>
    </font>
    <font>
      <b val="true"/>
      <sz val="10"/>
      <color rgb="FF000000"/>
      <name val="Calibri"/>
      <family val="2"/>
    </font>
  </fonts>
  <fills count="7">
    <fill>
      <patternFill patternType="none"/>
    </fill>
    <fill>
      <patternFill patternType="gray125"/>
    </fill>
    <fill>
      <patternFill patternType="solid">
        <fgColor rgb="FF2F6B45"/>
        <bgColor rgb="FF6B6B63"/>
      </patternFill>
    </fill>
    <fill>
      <patternFill patternType="solid">
        <fgColor rgb="FFFFFDE7"/>
        <bgColor rgb="FFF9F9F9"/>
      </patternFill>
    </fill>
    <fill>
      <patternFill patternType="solid">
        <fgColor rgb="FF8B5A2B"/>
        <bgColor rgb="FF6B6B63"/>
      </patternFill>
    </fill>
    <fill>
      <patternFill patternType="solid">
        <fgColor rgb="FFDCE6DA"/>
        <bgColor rgb="FFD9D9D9"/>
      </patternFill>
    </fill>
    <fill>
      <patternFill patternType="solid">
        <fgColor rgb="FFEFE3D3"/>
        <bgColor rgb="FFDCE6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true" applyAlignment="false" applyProtection="false">
      <alignment horizontal="general" vertical="bottom" textRotation="0" wrapText="false" indent="0" shrinkToFit="false"/>
      <protection locked="true" hidden="false"/>
    </xf>
    <xf numFmtId="165" fontId="9" fillId="3" borderId="0" xfId="0" applyFont="true" applyBorder="false" applyAlignment="false" applyProtection="false">
      <alignment horizontal="general" vertical="bottom" textRotation="0" wrapText="false" indent="0" shrinkToFit="false"/>
      <protection locked="true" hidden="false"/>
    </xf>
    <xf numFmtId="166" fontId="9"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8" fontId="9" fillId="3"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4" fontId="8" fillId="4" borderId="0" xfId="0" applyFont="tru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12" fillId="0" borderId="0" xfId="0" applyFont="true" applyBorder="false" applyAlignment="false" applyProtection="false">
      <alignment horizontal="general" vertical="bottom" textRotation="0" wrapText="false" indent="0" shrinkToFit="false"/>
      <protection locked="true" hidden="false"/>
    </xf>
    <xf numFmtId="164" fontId="13" fillId="5" borderId="0" xfId="0" applyFont="true" applyBorder="false" applyAlignment="false" applyProtection="false">
      <alignment horizontal="general" vertical="bottom" textRotation="0" wrapText="false" indent="0" shrinkToFit="false"/>
      <protection locked="true" hidden="false"/>
    </xf>
    <xf numFmtId="166" fontId="13" fillId="5" borderId="0" xfId="0" applyFont="true" applyBorder="false" applyAlignment="false" applyProtection="false">
      <alignment horizontal="general" vertical="bottom" textRotation="0" wrapText="false" indent="0" shrinkToFit="false"/>
      <protection locked="true" hidden="false"/>
    </xf>
    <xf numFmtId="168" fontId="13" fillId="5"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6" fontId="12" fillId="0" borderId="0" xfId="0" applyFont="true" applyBorder="false" applyAlignment="false" applyProtection="false">
      <alignment horizontal="general" vertical="bottom" textRotation="0" wrapText="false" indent="0" shrinkToFit="false"/>
      <protection locked="true" hidden="false"/>
    </xf>
    <xf numFmtId="164" fontId="13" fillId="6" borderId="0" xfId="0" applyFont="true" applyBorder="false" applyAlignment="false" applyProtection="false">
      <alignment horizontal="general" vertical="bottom" textRotation="0" wrapText="false" indent="0" shrinkToFit="false"/>
      <protection locked="true" hidden="false"/>
    </xf>
    <xf numFmtId="166" fontId="13" fillId="6"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true" applyProtection="false">
      <alignment horizontal="right"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6" fontId="17" fillId="0" borderId="0" xfId="0" applyFont="true" applyBorder="false" applyAlignment="false" applyProtection="false">
      <alignment horizontal="general" vertical="bottom" textRotation="0" wrapText="false" indent="0" shrinkToFit="false"/>
      <protection locked="true" hidden="false"/>
    </xf>
    <xf numFmtId="166" fontId="18"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B5A2B"/>
      <rgbColor rgb="FF800080"/>
      <rgbColor rgb="FF2F6B45"/>
      <rgbColor rgb="FFC9BB93"/>
      <rgbColor rgb="FF878787"/>
      <rgbColor rgb="FF9999FF"/>
      <rgbColor rgb="FFC24A78"/>
      <rgbColor rgb="FFFFFDE7"/>
      <rgbColor rgb="FFF9F9F9"/>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DCE6DA"/>
      <rgbColor rgb="FFFFFF99"/>
      <rgbColor rgb="FF99CCFF"/>
      <rgbColor rgb="FFFF99CC"/>
      <rgbColor rgb="FFCC99FF"/>
      <rgbColor rgb="FFEFE3D3"/>
      <rgbColor rgb="FF3366FF"/>
      <rgbColor rgb="FF33CCCC"/>
      <rgbColor rgb="FF99CC00"/>
      <rgbColor rgb="FFFFCC00"/>
      <rgbColor rgb="FFFF9900"/>
      <rgbColor rgb="FFFF6600"/>
      <rgbColor rgb="FF6B6B63"/>
      <rgbColor rgb="FF969696"/>
      <rgbColor rgb="FF003366"/>
      <rgbColor rgb="FF339966"/>
      <rgbColor rgb="FF003300"/>
      <rgbColor rgb="FF22281F"/>
      <rgbColor rgb="FF993300"/>
      <rgbColor rgb="FF993366"/>
      <rgbColor rgb="FF333399"/>
      <rgbColor rgb="FF1B32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Capex by item</a:t>
            </a:r>
          </a:p>
        </c:rich>
      </c:tx>
      <c:overlay val="0"/>
      <c:spPr>
        <a:noFill/>
        <a:ln w="0">
          <a:noFill/>
        </a:ln>
      </c:spPr>
    </c:title>
    <c:autoTitleDeleted val="0"/>
    <c:plotArea>
      <c:barChart>
        <c:barDir val="bar"/>
        <c:grouping val="clustered"/>
        <c:varyColors val="0"/>
        <c:ser>
          <c:idx val="0"/>
          <c:order val="0"/>
          <c:spPr>
            <a:solidFill>
              <a:srgbClr val="2f6b45"/>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Capex!$B$6:$B$14</c:f>
              <c:strCache>
                <c:ptCount val="9"/>
                <c:pt idx="0">
                  <c:v>20 pre-built farm-stay units</c:v>
                </c:pt>
                <c:pt idx="1">
                  <c:v>Site infrastructure (roads, water, electrical backbone)</c:v>
                </c:pt>
                <c:pt idx="2">
                  <c:v>10 EV park-and-stay pads</c:v>
                </c:pt>
                <c:pt idx="3">
                  <c:v>5 DC fast chargers (incl. install)</c:v>
                </c:pt>
                <c:pt idx="4">
                  <c:v>Restaurant building + kitchen + furnishing</c:v>
                </c:pt>
                <c:pt idx="5">
                  <c:v>Reception/admin building</c:v>
                </c:pt>
                <c:pt idx="6">
                  <c:v>Equipment &amp; vehicles</c:v>
                </c:pt>
                <c:pt idx="7">
                  <c:v>Working capital reserve</c:v>
                </c:pt>
                <c:pt idx="8">
                  <c:v>Contingency + legal/permits/lease deposit</c:v>
                </c:pt>
              </c:strCache>
            </c:strRef>
          </c:cat>
          <c:val>
            <c:numRef>
              <c:f>Capex!$C$6:$C$14</c:f>
              <c:numCache>
                <c:formatCode>\฿#,##0;"(฿"#,##0\);\-</c:formatCode>
                <c:ptCount val="9"/>
                <c:pt idx="0">
                  <c:v>10000000</c:v>
                </c:pt>
                <c:pt idx="1">
                  <c:v>8000000</c:v>
                </c:pt>
                <c:pt idx="2">
                  <c:v>2000000</c:v>
                </c:pt>
                <c:pt idx="3">
                  <c:v>6000000</c:v>
                </c:pt>
                <c:pt idx="4">
                  <c:v>5000000</c:v>
                </c:pt>
                <c:pt idx="5">
                  <c:v>2000000</c:v>
                </c:pt>
                <c:pt idx="6">
                  <c:v>1500000</c:v>
                </c:pt>
                <c:pt idx="7">
                  <c:v>1500000</c:v>
                </c:pt>
                <c:pt idx="8">
                  <c:v>2000000</c:v>
                </c:pt>
              </c:numCache>
            </c:numRef>
          </c:val>
        </c:ser>
        <c:gapWidth val="150"/>
        <c:overlap val="0"/>
        <c:axId val="74106501"/>
        <c:axId val="55546696"/>
      </c:barChart>
      <c:catAx>
        <c:axId val="7410650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5546696"/>
        <c:crosses val="autoZero"/>
        <c:auto val="1"/>
        <c:lblAlgn val="ctr"/>
        <c:lblOffset val="100"/>
        <c:noMultiLvlLbl val="0"/>
      </c:catAx>
      <c:valAx>
        <c:axId val="55546696"/>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410650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 income by year</a:t>
            </a:r>
          </a:p>
        </c:rich>
      </c:tx>
      <c:overlay val="0"/>
      <c:spPr>
        <a:noFill/>
        <a:ln w="0">
          <a:noFill/>
        </a:ln>
      </c:spPr>
    </c:title>
    <c:autoTitleDeleted val="0"/>
    <c:plotArea>
      <c:lineChart>
        <c:grouping val="standard"/>
        <c:varyColors val="0"/>
        <c:ser>
          <c:idx val="0"/>
          <c:order val="0"/>
          <c:spPr>
            <a:solidFill>
              <a:srgbClr val="c24a78"/>
            </a:solidFill>
            <a:ln w="24840">
              <a:solidFill>
                <a:srgbClr val="c24a78"/>
              </a:solidFill>
              <a:round/>
            </a:ln>
          </c:spPr>
          <c:marker>
            <c:symbol val="circle"/>
            <c:size val="5"/>
            <c:spPr>
              <a:solidFill>
                <a:srgbClr val="c24a78"/>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'Operating P&amp;L'!$C$5:$G$5</c:f>
              <c:strCache>
                <c:ptCount val="5"/>
                <c:pt idx="0">
                  <c:v>Year 1</c:v>
                </c:pt>
                <c:pt idx="1">
                  <c:v>Year 2</c:v>
                </c:pt>
                <c:pt idx="2">
                  <c:v>Year 3</c:v>
                </c:pt>
                <c:pt idx="3">
                  <c:v>Year 4</c:v>
                </c:pt>
                <c:pt idx="4">
                  <c:v>Year 5</c:v>
                </c:pt>
              </c:strCache>
            </c:strRef>
          </c:cat>
          <c:val>
            <c:numRef>
              <c:f>'Operating P&amp;L'!$C$24:$G$24</c:f>
              <c:numCache>
                <c:formatCode>\฿#,##0;"(฿"#,##0\);\-</c:formatCode>
                <c:ptCount val="5"/>
                <c:pt idx="0">
                  <c:v>8067700</c:v>
                </c:pt>
                <c:pt idx="1">
                  <c:v>14908125</c:v>
                </c:pt>
                <c:pt idx="2">
                  <c:v>20630300</c:v>
                </c:pt>
                <c:pt idx="3">
                  <c:v>22556875</c:v>
                </c:pt>
                <c:pt idx="4">
                  <c:v>23437350</c:v>
                </c:pt>
              </c:numCache>
            </c:numRef>
          </c:val>
          <c:smooth val="1"/>
        </c:ser>
        <c:hiLowLines>
          <c:spPr>
            <a:ln w="0">
              <a:noFill/>
            </a:ln>
          </c:spPr>
        </c:hiLowLines>
        <c:marker val="1"/>
        <c:axId val="2696513"/>
        <c:axId val="69295974"/>
      </c:lineChart>
      <c:catAx>
        <c:axId val="269651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9295974"/>
        <c:crosses val="autoZero"/>
        <c:auto val="1"/>
        <c:lblAlgn val="ctr"/>
        <c:lblOffset val="100"/>
        <c:noMultiLvlLbl val="0"/>
      </c:catAx>
      <c:valAx>
        <c:axId val="69295974"/>
        <c:scaling>
          <c:orientation val="minMax"/>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96513"/>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Cash flow: net (bars) and cumulative (line)</a:t>
            </a:r>
          </a:p>
        </c:rich>
      </c:tx>
      <c:overlay val="0"/>
      <c:spPr>
        <a:noFill/>
        <a:ln w="0">
          <a:noFill/>
        </a:ln>
      </c:spPr>
    </c:title>
    <c:autoTitleDeleted val="0"/>
    <c:plotArea>
      <c:barChart>
        <c:barDir val="col"/>
        <c:grouping val="clustered"/>
        <c:varyColors val="0"/>
        <c:ser>
          <c:idx val="0"/>
          <c:order val="0"/>
          <c:spPr>
            <a:solidFill>
              <a:srgbClr val="8b5a2b"/>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 Flow'!$C$5:$H$5</c:f>
              <c:strCache>
                <c:ptCount val="6"/>
                <c:pt idx="0">
                  <c:v>Year 0 (capex)</c:v>
                </c:pt>
                <c:pt idx="1">
                  <c:v>Year 1</c:v>
                </c:pt>
                <c:pt idx="2">
                  <c:v>Year 2</c:v>
                </c:pt>
                <c:pt idx="3">
                  <c:v>Year 3</c:v>
                </c:pt>
                <c:pt idx="4">
                  <c:v>Year 4</c:v>
                </c:pt>
                <c:pt idx="5">
                  <c:v>Year 5</c:v>
                </c:pt>
              </c:strCache>
            </c:strRef>
          </c:cat>
          <c:val>
            <c:numRef>
              <c:f>'Cash Flow'!$C$13:$H$13</c:f>
              <c:numCache>
                <c:formatCode>\฿#,##0;"(฿"#,##0\);\-</c:formatCode>
                <c:ptCount val="6"/>
                <c:pt idx="0">
                  <c:v>-38000000</c:v>
                </c:pt>
                <c:pt idx="1">
                  <c:v>8067700</c:v>
                </c:pt>
                <c:pt idx="2">
                  <c:v>14908125</c:v>
                </c:pt>
                <c:pt idx="3">
                  <c:v>20630300</c:v>
                </c:pt>
                <c:pt idx="4">
                  <c:v>22556875</c:v>
                </c:pt>
                <c:pt idx="5">
                  <c:v>-69162650</c:v>
                </c:pt>
              </c:numCache>
            </c:numRef>
          </c:val>
        </c:ser>
        <c:gapWidth val="150"/>
        <c:overlap val="0"/>
        <c:axId val="25984799"/>
        <c:axId val="89793976"/>
      </c:barChart>
      <c:lineChart>
        <c:grouping val="standard"/>
        <c:varyColors val="0"/>
        <c:ser>
          <c:idx val="1"/>
          <c:order val="1"/>
          <c:spPr>
            <a:solidFill>
              <a:srgbClr val="2f6b45"/>
            </a:solidFill>
            <a:ln w="28080">
              <a:solidFill>
                <a:srgbClr val="2f6b45"/>
              </a:solidFill>
              <a:round/>
            </a:ln>
          </c:spPr>
          <c:marker>
            <c:symbol val="circle"/>
            <c:size val="5"/>
            <c:spPr>
              <a:solidFill>
                <a:srgbClr val="2f6b4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'Cash Flow'!$C$5:$H$5</c:f>
              <c:strCache>
                <c:ptCount val="6"/>
                <c:pt idx="0">
                  <c:v>Year 0 (capex)</c:v>
                </c:pt>
                <c:pt idx="1">
                  <c:v>Year 1</c:v>
                </c:pt>
                <c:pt idx="2">
                  <c:v>Year 2</c:v>
                </c:pt>
                <c:pt idx="3">
                  <c:v>Year 3</c:v>
                </c:pt>
                <c:pt idx="4">
                  <c:v>Year 4</c:v>
                </c:pt>
                <c:pt idx="5">
                  <c:v>Year 5</c:v>
                </c:pt>
              </c:strCache>
            </c:strRef>
          </c:cat>
          <c:val>
            <c:numRef>
              <c:f>'Cash Flow'!$C$14:$H$14</c:f>
              <c:numCache>
                <c:formatCode>\฿#,##0;"(฿"#,##0\);\-</c:formatCode>
                <c:ptCount val="6"/>
                <c:pt idx="0">
                  <c:v>-38000000</c:v>
                </c:pt>
                <c:pt idx="1">
                  <c:v>-29932300</c:v>
                </c:pt>
                <c:pt idx="2">
                  <c:v>-15024175</c:v>
                </c:pt>
                <c:pt idx="3">
                  <c:v>5606125</c:v>
                </c:pt>
                <c:pt idx="4">
                  <c:v>28163000</c:v>
                </c:pt>
                <c:pt idx="5">
                  <c:v>-40999650</c:v>
                </c:pt>
              </c:numCache>
            </c:numRef>
          </c:val>
          <c:smooth val="0"/>
        </c:ser>
        <c:hiLowLines>
          <c:spPr>
            <a:ln w="0">
              <a:noFill/>
            </a:ln>
          </c:spPr>
        </c:hiLowLines>
        <c:marker val="1"/>
        <c:axId val="25984799"/>
        <c:axId val="89793976"/>
      </c:lineChart>
      <c:catAx>
        <c:axId val="25984799"/>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89793976"/>
        <c:crosses val="autoZero"/>
        <c:auto val="1"/>
        <c:lblAlgn val="ctr"/>
        <c:lblOffset val="100"/>
        <c:noMultiLvlLbl val="0"/>
      </c:catAx>
      <c:valAx>
        <c:axId val="8979397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THB</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5984799"/>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Cumulative cash position over time</a:t>
            </a:r>
          </a:p>
        </c:rich>
      </c:tx>
      <c:overlay val="0"/>
      <c:spPr>
        <a:noFill/>
        <a:ln w="0">
          <a:noFill/>
        </a:ln>
      </c:spPr>
    </c:title>
    <c:autoTitleDeleted val="0"/>
    <c:plotArea>
      <c:barChart>
        <c:barDir val="col"/>
        <c:grouping val="clustered"/>
        <c:varyColors val="0"/>
        <c:ser>
          <c:idx val="0"/>
          <c:order val="0"/>
          <c:spPr>
            <a:solidFill>
              <a:srgbClr val="c9bb93"/>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Summary!$C$20:$H$20</c:f>
              <c:strCache>
                <c:ptCount val="6"/>
                <c:pt idx="0">
                  <c:v>Year 0 (capex)</c:v>
                </c:pt>
                <c:pt idx="1">
                  <c:v>Year 1</c:v>
                </c:pt>
                <c:pt idx="2">
                  <c:v>Year 2</c:v>
                </c:pt>
                <c:pt idx="3">
                  <c:v>Year 3</c:v>
                </c:pt>
                <c:pt idx="4">
                  <c:v>Year 4</c:v>
                </c:pt>
                <c:pt idx="5">
                  <c:v>Year 5</c:v>
                </c:pt>
              </c:strCache>
            </c:strRef>
          </c:cat>
          <c:val>
            <c:numRef>
              <c:f>Summary!$C$21:$H$21</c:f>
              <c:numCache>
                <c:formatCode>\฿#,##0;"(฿"#,##0\);\-</c:formatCode>
                <c:ptCount val="6"/>
                <c:pt idx="0">
                  <c:v>-38000000</c:v>
                </c:pt>
                <c:pt idx="1">
                  <c:v>8067700</c:v>
                </c:pt>
                <c:pt idx="2">
                  <c:v>14908125</c:v>
                </c:pt>
                <c:pt idx="3">
                  <c:v>20630300</c:v>
                </c:pt>
                <c:pt idx="4">
                  <c:v>22556875</c:v>
                </c:pt>
                <c:pt idx="5">
                  <c:v>-69162650</c:v>
                </c:pt>
              </c:numCache>
            </c:numRef>
          </c:val>
        </c:ser>
        <c:gapWidth val="150"/>
        <c:overlap val="0"/>
        <c:axId val="91340746"/>
        <c:axId val="13948899"/>
      </c:barChart>
      <c:lineChart>
        <c:grouping val="standard"/>
        <c:varyColors val="0"/>
        <c:ser>
          <c:idx val="1"/>
          <c:order val="1"/>
          <c:spPr>
            <a:solidFill>
              <a:srgbClr val="2f6b45"/>
            </a:solidFill>
            <a:ln w="32040">
              <a:solidFill>
                <a:srgbClr val="2f6b45"/>
              </a:solidFill>
              <a:round/>
            </a:ln>
          </c:spPr>
          <c:marker>
            <c:symbol val="circle"/>
            <c:size val="5"/>
            <c:spPr>
              <a:solidFill>
                <a:srgbClr val="2f6b45"/>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Summary!$C$20:$H$20</c:f>
              <c:strCache>
                <c:ptCount val="6"/>
                <c:pt idx="0">
                  <c:v>Year 0 (capex)</c:v>
                </c:pt>
                <c:pt idx="1">
                  <c:v>Year 1</c:v>
                </c:pt>
                <c:pt idx="2">
                  <c:v>Year 2</c:v>
                </c:pt>
                <c:pt idx="3">
                  <c:v>Year 3</c:v>
                </c:pt>
                <c:pt idx="4">
                  <c:v>Year 4</c:v>
                </c:pt>
                <c:pt idx="5">
                  <c:v>Year 5</c:v>
                </c:pt>
              </c:strCache>
            </c:strRef>
          </c:cat>
          <c:val>
            <c:numRef>
              <c:f>Summary!$C$22:$H$22</c:f>
              <c:numCache>
                <c:formatCode>\฿#,##0;"(฿"#,##0\);\-</c:formatCode>
                <c:ptCount val="6"/>
                <c:pt idx="0">
                  <c:v>-38000000</c:v>
                </c:pt>
                <c:pt idx="1">
                  <c:v>-29932300</c:v>
                </c:pt>
                <c:pt idx="2">
                  <c:v>-15024175</c:v>
                </c:pt>
                <c:pt idx="3">
                  <c:v>5606125</c:v>
                </c:pt>
                <c:pt idx="4">
                  <c:v>28163000</c:v>
                </c:pt>
                <c:pt idx="5">
                  <c:v>-40999650</c:v>
                </c:pt>
              </c:numCache>
            </c:numRef>
          </c:val>
          <c:smooth val="0"/>
        </c:ser>
        <c:hiLowLines>
          <c:spPr>
            <a:ln w="0">
              <a:noFill/>
            </a:ln>
          </c:spPr>
        </c:hiLowLines>
        <c:marker val="1"/>
        <c:axId val="91340746"/>
        <c:axId val="13948899"/>
      </c:lineChart>
      <c:catAx>
        <c:axId val="91340746"/>
        <c:scaling>
          <c:orientation val="minMax"/>
        </c:scaling>
        <c:delete val="0"/>
        <c:axPos val="b"/>
        <c:numFmt formatCode="General" sourceLinked="1"/>
        <c:majorTickMark val="none"/>
        <c:minorTickMark val="none"/>
        <c:tickLblPos val="low"/>
        <c:spPr>
          <a:ln w="9360">
            <a:solidFill>
              <a:srgbClr val="878787"/>
            </a:solidFill>
            <a:round/>
          </a:ln>
        </c:spPr>
        <c:txPr>
          <a:bodyPr/>
          <a:lstStyle/>
          <a:p>
            <a:pPr>
              <a:defRPr b="0" sz="1000" spc="-1" strike="noStrike">
                <a:solidFill>
                  <a:srgbClr val="000000"/>
                </a:solidFill>
                <a:latin typeface="Calibri"/>
              </a:defRPr>
            </a:pPr>
          </a:p>
        </c:txPr>
        <c:crossAx val="13948899"/>
        <c:crosses val="autoZero"/>
        <c:auto val="1"/>
        <c:lblAlgn val="ctr"/>
        <c:lblOffset val="100"/>
        <c:noMultiLvlLbl val="0"/>
      </c:catAx>
      <c:valAx>
        <c:axId val="13948899"/>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THB</a:t>
                </a:r>
              </a:p>
            </c:rich>
          </c:tx>
          <c:overlay val="0"/>
          <c:spPr>
            <a:noFill/>
            <a:ln w="0">
              <a:noFill/>
            </a:ln>
          </c:spPr>
        </c:title>
        <c:numFmt formatCode="\฿#,##0;&quot;(฿&quot;#,##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34074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_rels/drawing3.xml.rels><?xml version="1.0" encoding="UTF-8"?>
<Relationships xmlns="http://schemas.openxmlformats.org/package/2006/relationships"><Relationship Id="rId1" Type="http://schemas.openxmlformats.org/officeDocument/2006/relationships/chart" Target="../charts/chart3.xml"/>
</Relationships>
</file>

<file path=xl/drawings/_rels/drawing4.xml.rels><?xml version="1.0" encoding="UTF-8"?>
<Relationships xmlns="http://schemas.openxmlformats.org/package/2006/relationships"><Relationship Id="rId1" Type="http://schemas.openxmlformats.org/officeDocument/2006/relationships/chart" Target="../charts/chart4.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0</xdr:colOff>
      <xdr:row>4</xdr:row>
      <xdr:rowOff>100800</xdr:rowOff>
    </xdr:from>
    <xdr:to>
      <xdr:col>10</xdr:col>
      <xdr:colOff>387000</xdr:colOff>
      <xdr:row>21</xdr:row>
      <xdr:rowOff>101880</xdr:rowOff>
    </xdr:to>
    <xdr:graphicFrame>
      <xdr:nvGraphicFramePr>
        <xdr:cNvPr id="0" name="Chart 1"/>
        <xdr:cNvGraphicFramePr/>
      </xdr:nvGraphicFramePr>
      <xdr:xfrm>
        <a:off x="7956720" y="838080"/>
        <a:ext cx="64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25</xdr:row>
      <xdr:rowOff>100800</xdr:rowOff>
    </xdr:from>
    <xdr:to>
      <xdr:col>3</xdr:col>
      <xdr:colOff>692280</xdr:colOff>
      <xdr:row>38</xdr:row>
      <xdr:rowOff>144000</xdr:rowOff>
    </xdr:to>
    <xdr:graphicFrame>
      <xdr:nvGraphicFramePr>
        <xdr:cNvPr id="1" name="Chart 1"/>
        <xdr:cNvGraphicFramePr/>
      </xdr:nvGraphicFramePr>
      <xdr:xfrm>
        <a:off x="222120" y="4924440"/>
        <a:ext cx="5759640" cy="25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16</xdr:row>
      <xdr:rowOff>100800</xdr:rowOff>
    </xdr:from>
    <xdr:to>
      <xdr:col>5</xdr:col>
      <xdr:colOff>185040</xdr:colOff>
      <xdr:row>34</xdr:row>
      <xdr:rowOff>91440</xdr:rowOff>
    </xdr:to>
    <xdr:graphicFrame>
      <xdr:nvGraphicFramePr>
        <xdr:cNvPr id="2" name="Chart 1"/>
        <xdr:cNvGraphicFramePr/>
      </xdr:nvGraphicFramePr>
      <xdr:xfrm>
        <a:off x="222120" y="3286080"/>
        <a:ext cx="7919640" cy="341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22</xdr:row>
      <xdr:rowOff>100800</xdr:rowOff>
    </xdr:from>
    <xdr:to>
      <xdr:col>5</xdr:col>
      <xdr:colOff>905040</xdr:colOff>
      <xdr:row>41</xdr:row>
      <xdr:rowOff>81000</xdr:rowOff>
    </xdr:to>
    <xdr:graphicFrame>
      <xdr:nvGraphicFramePr>
        <xdr:cNvPr id="3" name="Chart 1"/>
        <xdr:cNvGraphicFramePr/>
      </xdr:nvGraphicFramePr>
      <xdr:xfrm>
        <a:off x="222120" y="4343400"/>
        <a:ext cx="863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100"/>
    <col collapsed="false" customWidth="true" hidden="false" outlineLevel="0" max="9" min="3" style="0" width="15"/>
  </cols>
  <sheetData>
    <row r="1" customFormat="false" ht="6" hidden="false" customHeight="true" outlineLevel="0" collapsed="false"/>
    <row r="2" customFormat="false" ht="22.05" hidden="false" customHeight="false" outlineLevel="0" collapsed="false">
      <c r="B2" s="1" t="s">
        <v>0</v>
      </c>
    </row>
    <row r="3" customFormat="false" ht="15" hidden="false" customHeight="false" outlineLevel="0" collapsed="false">
      <c r="B3" s="2" t="s">
        <v>1</v>
      </c>
    </row>
    <row r="6" customFormat="false" ht="15" hidden="false" customHeight="false" outlineLevel="0" collapsed="false">
      <c r="B6" s="3" t="s">
        <v>2</v>
      </c>
    </row>
    <row r="7" customFormat="false" ht="15" hidden="false" customHeight="false" outlineLevel="0" collapsed="false">
      <c r="B7" s="3" t="s">
        <v>3</v>
      </c>
    </row>
    <row r="8" customFormat="false" ht="15" hidden="false" customHeight="false" outlineLevel="0" collapsed="false">
      <c r="B8" s="3" t="s">
        <v>4</v>
      </c>
    </row>
    <row r="10" customFormat="false" ht="15" hidden="false" customHeight="false" outlineLevel="0" collapsed="false">
      <c r="B10" s="4" t="s">
        <v>5</v>
      </c>
    </row>
    <row r="11" customFormat="false" ht="15" hidden="false" customHeight="false" outlineLevel="0" collapsed="false">
      <c r="B11" s="3" t="s">
        <v>6</v>
      </c>
    </row>
    <row r="12" customFormat="false" ht="15" hidden="false" customHeight="false" outlineLevel="0" collapsed="false">
      <c r="B12" s="3" t="s">
        <v>7</v>
      </c>
    </row>
    <row r="13" customFormat="false" ht="15" hidden="false" customHeight="false" outlineLevel="0" collapsed="false">
      <c r="B13" s="3" t="s">
        <v>8</v>
      </c>
    </row>
    <row r="14" customFormat="false" ht="15" hidden="false" customHeight="false" outlineLevel="0" collapsed="false">
      <c r="B14" s="3" t="s">
        <v>9</v>
      </c>
    </row>
    <row r="16" customFormat="false" ht="15" hidden="false" customHeight="false" outlineLevel="0" collapsed="false">
      <c r="B16" s="4" t="s">
        <v>10</v>
      </c>
    </row>
    <row r="17" customFormat="false" ht="15" hidden="false" customHeight="false" outlineLevel="0" collapsed="false">
      <c r="B17" s="3" t="s">
        <v>11</v>
      </c>
    </row>
    <row r="18" customFormat="false" ht="15" hidden="false" customHeight="false" outlineLevel="0" collapsed="false">
      <c r="B18" s="3" t="s">
        <v>12</v>
      </c>
    </row>
    <row r="19" customFormat="false" ht="15" hidden="false" customHeight="false" outlineLevel="0" collapsed="false">
      <c r="B19" s="3" t="s">
        <v>13</v>
      </c>
    </row>
    <row r="20" customFormat="false" ht="15" hidden="false" customHeight="false" outlineLevel="0" collapsed="false">
      <c r="B20" s="3" t="s">
        <v>14</v>
      </c>
    </row>
    <row r="21" customFormat="false" ht="15" hidden="false" customHeight="false" outlineLevel="0" collapsed="false">
      <c r="B21" s="3" t="s">
        <v>15</v>
      </c>
    </row>
    <row r="23" customFormat="false" ht="15" hidden="false" customHeight="false" outlineLevel="0" collapsed="false">
      <c r="B23" s="3" t="s">
        <v>16</v>
      </c>
    </row>
    <row r="24" customFormat="false" ht="15" hidden="false" customHeight="false" outlineLevel="0" collapsed="false">
      <c r="B24" s="3" t="s">
        <v>17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42"/>
    <col collapsed="false" customWidth="true" hidden="false" outlineLevel="0" max="9" min="3" style="0" width="15"/>
  </cols>
  <sheetData>
    <row r="1" customFormat="false" ht="6" hidden="false" customHeight="true" outlineLevel="0" collapsed="false"/>
    <row r="2" customFormat="false" ht="22.05" hidden="false" customHeight="false" outlineLevel="0" collapsed="false">
      <c r="B2" s="1" t="s">
        <v>18</v>
      </c>
    </row>
    <row r="3" customFormat="false" ht="15" hidden="false" customHeight="false" outlineLevel="0" collapsed="false">
      <c r="B3" s="2" t="s">
        <v>19</v>
      </c>
    </row>
    <row r="5" customFormat="false" ht="18" hidden="false" customHeight="true" outlineLevel="0" collapsed="false">
      <c r="B5" s="5" t="s">
        <v>20</v>
      </c>
      <c r="C5" s="5"/>
      <c r="D5" s="5"/>
      <c r="E5" s="5"/>
      <c r="F5" s="5"/>
      <c r="G5" s="5"/>
      <c r="H5" s="5"/>
    </row>
    <row r="6" customFormat="false" ht="15" hidden="false" customHeight="false" outlineLevel="0" collapsed="false">
      <c r="B6" s="3" t="s">
        <v>21</v>
      </c>
      <c r="C6" s="6" t="n">
        <v>42</v>
      </c>
    </row>
    <row r="7" customFormat="false" ht="15" hidden="false" customHeight="false" outlineLevel="0" collapsed="false">
      <c r="B7" s="3" t="s">
        <v>22</v>
      </c>
      <c r="C7" s="7" t="n">
        <v>4000</v>
      </c>
      <c r="H7" s="8" t="s">
        <v>23</v>
      </c>
    </row>
    <row r="8" customFormat="false" ht="15" hidden="false" customHeight="false" outlineLevel="0" collapsed="false">
      <c r="B8" s="3" t="s">
        <v>24</v>
      </c>
      <c r="C8" s="9" t="n">
        <v>46296</v>
      </c>
    </row>
    <row r="10" customFormat="false" ht="18" hidden="false" customHeight="true" outlineLevel="0" collapsed="false">
      <c r="B10" s="5" t="s">
        <v>25</v>
      </c>
      <c r="C10" s="5"/>
      <c r="D10" s="5"/>
      <c r="E10" s="5"/>
      <c r="F10" s="5"/>
      <c r="G10" s="5"/>
      <c r="H10" s="5"/>
    </row>
    <row r="11" customFormat="false" ht="15" hidden="false" customHeight="false" outlineLevel="0" collapsed="false">
      <c r="B11" s="3" t="s">
        <v>26</v>
      </c>
      <c r="C11" s="6" t="n">
        <v>20</v>
      </c>
    </row>
    <row r="12" customFormat="false" ht="15" hidden="false" customHeight="false" outlineLevel="0" collapsed="false">
      <c r="B12" s="3" t="s">
        <v>27</v>
      </c>
      <c r="C12" s="10" t="n">
        <v>2800</v>
      </c>
    </row>
    <row r="13" customFormat="false" ht="15.75" hidden="false" customHeight="true" outlineLevel="0" collapsed="false">
      <c r="B13" s="4" t="s">
        <v>28</v>
      </c>
      <c r="C13" s="11" t="s">
        <v>29</v>
      </c>
      <c r="D13" s="11" t="s">
        <v>30</v>
      </c>
      <c r="E13" s="11" t="s">
        <v>31</v>
      </c>
      <c r="F13" s="11" t="s">
        <v>32</v>
      </c>
      <c r="G13" s="11" t="s">
        <v>33</v>
      </c>
      <c r="H13" s="4" t="s">
        <v>34</v>
      </c>
    </row>
    <row r="14" customFormat="false" ht="15" hidden="false" customHeight="false" outlineLevel="0" collapsed="false">
      <c r="B14" s="3" t="s">
        <v>35</v>
      </c>
      <c r="C14" s="12" t="n">
        <v>0.3</v>
      </c>
      <c r="D14" s="12" t="n">
        <v>0.45</v>
      </c>
      <c r="E14" s="12" t="n">
        <v>0.55</v>
      </c>
      <c r="F14" s="12" t="n">
        <v>0.6</v>
      </c>
      <c r="G14" s="12" t="n">
        <v>0.62</v>
      </c>
    </row>
    <row r="16" customFormat="false" ht="18" hidden="false" customHeight="true" outlineLevel="0" collapsed="false">
      <c r="B16" s="5" t="s">
        <v>36</v>
      </c>
      <c r="C16" s="5"/>
      <c r="D16" s="5"/>
      <c r="E16" s="5"/>
      <c r="F16" s="5"/>
      <c r="G16" s="5"/>
      <c r="H16" s="5"/>
    </row>
    <row r="17" customFormat="false" ht="15" hidden="false" customHeight="false" outlineLevel="0" collapsed="false">
      <c r="B17" s="3" t="s">
        <v>37</v>
      </c>
      <c r="C17" s="6" t="n">
        <v>10</v>
      </c>
    </row>
    <row r="18" customFormat="false" ht="15" hidden="false" customHeight="false" outlineLevel="0" collapsed="false">
      <c r="B18" s="3" t="s">
        <v>27</v>
      </c>
      <c r="C18" s="10" t="n">
        <v>900</v>
      </c>
    </row>
    <row r="19" customFormat="false" ht="15.75" hidden="false" customHeight="true" outlineLevel="0" collapsed="false">
      <c r="B19" s="4" t="s">
        <v>28</v>
      </c>
      <c r="C19" s="11" t="s">
        <v>29</v>
      </c>
      <c r="D19" s="11" t="s">
        <v>30</v>
      </c>
      <c r="E19" s="11" t="s">
        <v>31</v>
      </c>
      <c r="F19" s="11" t="s">
        <v>32</v>
      </c>
      <c r="G19" s="11" t="s">
        <v>33</v>
      </c>
      <c r="H19" s="4" t="s">
        <v>34</v>
      </c>
    </row>
    <row r="20" customFormat="false" ht="15" hidden="false" customHeight="false" outlineLevel="0" collapsed="false">
      <c r="B20" s="3" t="s">
        <v>35</v>
      </c>
      <c r="C20" s="12" t="n">
        <v>0.2</v>
      </c>
      <c r="D20" s="12" t="n">
        <v>0.35</v>
      </c>
      <c r="E20" s="12" t="n">
        <v>0.45</v>
      </c>
      <c r="F20" s="12" t="n">
        <v>0.5</v>
      </c>
      <c r="G20" s="12" t="n">
        <v>0.52</v>
      </c>
    </row>
    <row r="22" customFormat="false" ht="18" hidden="false" customHeight="true" outlineLevel="0" collapsed="false">
      <c r="B22" s="5" t="s">
        <v>38</v>
      </c>
      <c r="C22" s="5"/>
      <c r="D22" s="5"/>
      <c r="E22" s="5"/>
      <c r="F22" s="5"/>
      <c r="G22" s="5"/>
      <c r="H22" s="5"/>
    </row>
    <row r="23" customFormat="false" ht="15" hidden="false" customHeight="false" outlineLevel="0" collapsed="false">
      <c r="B23" s="3" t="s">
        <v>39</v>
      </c>
      <c r="C23" s="6" t="n">
        <v>5</v>
      </c>
    </row>
    <row r="24" customFormat="false" ht="15" hidden="false" customHeight="false" outlineLevel="0" collapsed="false">
      <c r="B24" s="3" t="s">
        <v>40</v>
      </c>
      <c r="C24" s="10" t="n">
        <v>35</v>
      </c>
    </row>
    <row r="25" customFormat="false" ht="15" hidden="false" customHeight="false" outlineLevel="0" collapsed="false">
      <c r="B25" s="3" t="s">
        <v>41</v>
      </c>
      <c r="C25" s="10" t="n">
        <v>8</v>
      </c>
    </row>
    <row r="26" customFormat="false" ht="15" hidden="false" customHeight="false" outlineLevel="0" collapsed="false">
      <c r="B26" s="3" t="s">
        <v>42</v>
      </c>
      <c r="C26" s="10" t="n">
        <v>5</v>
      </c>
    </row>
    <row r="27" customFormat="false" ht="15.75" hidden="false" customHeight="true" outlineLevel="0" collapsed="false">
      <c r="B27" s="4" t="s">
        <v>28</v>
      </c>
      <c r="C27" s="11" t="s">
        <v>29</v>
      </c>
      <c r="D27" s="11" t="s">
        <v>30</v>
      </c>
      <c r="E27" s="11" t="s">
        <v>31</v>
      </c>
      <c r="F27" s="11" t="s">
        <v>32</v>
      </c>
      <c r="G27" s="11" t="s">
        <v>33</v>
      </c>
      <c r="H27" s="4" t="s">
        <v>34</v>
      </c>
    </row>
    <row r="28" customFormat="false" ht="15" hidden="false" customHeight="false" outlineLevel="0" collapsed="false">
      <c r="B28" s="3" t="s">
        <v>43</v>
      </c>
      <c r="C28" s="6" t="n">
        <v>4</v>
      </c>
      <c r="D28" s="6" t="n">
        <v>7</v>
      </c>
      <c r="E28" s="6" t="n">
        <v>10</v>
      </c>
      <c r="F28" s="6" t="n">
        <v>11</v>
      </c>
      <c r="G28" s="6" t="n">
        <v>12</v>
      </c>
    </row>
    <row r="30" customFormat="false" ht="18" hidden="false" customHeight="true" outlineLevel="0" collapsed="false">
      <c r="B30" s="5" t="s">
        <v>44</v>
      </c>
      <c r="C30" s="5"/>
      <c r="D30" s="5"/>
      <c r="E30" s="5"/>
      <c r="F30" s="5"/>
      <c r="G30" s="5"/>
      <c r="H30" s="5"/>
    </row>
    <row r="31" customFormat="false" ht="15" hidden="false" customHeight="false" outlineLevel="0" collapsed="false">
      <c r="B31" s="3" t="s">
        <v>45</v>
      </c>
      <c r="C31" s="10" t="n">
        <v>350</v>
      </c>
    </row>
    <row r="32" customFormat="false" ht="15" hidden="false" customHeight="false" outlineLevel="0" collapsed="false">
      <c r="B32" s="3" t="s">
        <v>46</v>
      </c>
      <c r="C32" s="13" t="n">
        <v>0.32</v>
      </c>
    </row>
    <row r="33" customFormat="false" ht="15.75" hidden="false" customHeight="true" outlineLevel="0" collapsed="false">
      <c r="B33" s="4" t="s">
        <v>28</v>
      </c>
      <c r="C33" s="11" t="s">
        <v>29</v>
      </c>
      <c r="D33" s="11" t="s">
        <v>30</v>
      </c>
      <c r="E33" s="11" t="s">
        <v>31</v>
      </c>
      <c r="F33" s="11" t="s">
        <v>32</v>
      </c>
      <c r="G33" s="11" t="s">
        <v>33</v>
      </c>
      <c r="H33" s="4" t="s">
        <v>34</v>
      </c>
    </row>
    <row r="34" customFormat="false" ht="15" hidden="false" customHeight="false" outlineLevel="0" collapsed="false">
      <c r="B34" s="3" t="s">
        <v>47</v>
      </c>
      <c r="C34" s="6" t="n">
        <v>60</v>
      </c>
      <c r="D34" s="6" t="n">
        <v>100</v>
      </c>
      <c r="E34" s="6" t="n">
        <v>140</v>
      </c>
      <c r="F34" s="6" t="n">
        <v>150</v>
      </c>
      <c r="G34" s="6" t="n">
        <v>155</v>
      </c>
    </row>
    <row r="36" customFormat="false" ht="18" hidden="false" customHeight="true" outlineLevel="0" collapsed="false">
      <c r="B36" s="5" t="s">
        <v>48</v>
      </c>
      <c r="C36" s="5"/>
      <c r="D36" s="5"/>
      <c r="E36" s="5"/>
      <c r="F36" s="5"/>
      <c r="G36" s="5"/>
      <c r="H36" s="5"/>
    </row>
    <row r="37" customFormat="false" ht="15.75" hidden="false" customHeight="true" outlineLevel="0" collapsed="false">
      <c r="B37" s="4" t="s">
        <v>28</v>
      </c>
      <c r="C37" s="11" t="s">
        <v>29</v>
      </c>
      <c r="D37" s="11" t="s">
        <v>30</v>
      </c>
      <c r="E37" s="11" t="s">
        <v>31</v>
      </c>
      <c r="F37" s="11" t="s">
        <v>32</v>
      </c>
      <c r="G37" s="11" t="s">
        <v>33</v>
      </c>
      <c r="H37" s="4" t="s">
        <v>34</v>
      </c>
    </row>
    <row r="38" customFormat="false" ht="15" hidden="false" customHeight="false" outlineLevel="0" collapsed="false">
      <c r="B38" s="3" t="s">
        <v>49</v>
      </c>
      <c r="C38" s="10" t="n">
        <v>2232000</v>
      </c>
      <c r="D38" s="10" t="n">
        <v>2800000</v>
      </c>
      <c r="E38" s="10" t="n">
        <v>3200000</v>
      </c>
      <c r="F38" s="10" t="n">
        <v>3400000</v>
      </c>
      <c r="G38" s="10" t="n">
        <v>3500000</v>
      </c>
    </row>
    <row r="39" customFormat="false" ht="15" hidden="false" customHeight="false" outlineLevel="0" collapsed="false">
      <c r="B39" s="3" t="s">
        <v>50</v>
      </c>
      <c r="C39" s="10" t="n">
        <v>800000</v>
      </c>
      <c r="D39" s="10" t="n">
        <v>950000</v>
      </c>
      <c r="E39" s="10" t="n">
        <v>1100000</v>
      </c>
      <c r="F39" s="10" t="n">
        <v>1150000</v>
      </c>
      <c r="G39" s="10" t="n">
        <v>1200000</v>
      </c>
    </row>
    <row r="40" customFormat="false" ht="15" hidden="false" customHeight="false" outlineLevel="0" collapsed="false">
      <c r="B40" s="3" t="s">
        <v>51</v>
      </c>
      <c r="C40" s="10" t="n">
        <v>600000</v>
      </c>
      <c r="D40" s="10" t="n">
        <v>500000</v>
      </c>
      <c r="E40" s="10" t="n">
        <v>500000</v>
      </c>
      <c r="F40" s="10" t="n">
        <v>500000</v>
      </c>
      <c r="G40" s="10" t="n">
        <v>500000</v>
      </c>
    </row>
    <row r="41" customFormat="false" ht="15" hidden="false" customHeight="false" outlineLevel="0" collapsed="false">
      <c r="B41" s="3" t="s">
        <v>52</v>
      </c>
      <c r="C41" s="10" t="n">
        <v>400000</v>
      </c>
      <c r="D41" s="10" t="n">
        <v>450000</v>
      </c>
      <c r="E41" s="10" t="n">
        <v>500000</v>
      </c>
      <c r="F41" s="10" t="n">
        <v>520000</v>
      </c>
      <c r="G41" s="10" t="n">
        <v>540000</v>
      </c>
    </row>
    <row r="42" customFormat="false" ht="15" hidden="false" customHeight="false" outlineLevel="0" collapsed="false">
      <c r="B42" s="3" t="s">
        <v>53</v>
      </c>
      <c r="C42" s="10" t="n">
        <v>500000</v>
      </c>
      <c r="D42" s="10" t="n">
        <v>600000</v>
      </c>
      <c r="E42" s="10" t="n">
        <v>700000</v>
      </c>
      <c r="F42" s="10" t="n">
        <v>750000</v>
      </c>
      <c r="G42" s="10" t="n">
        <v>800000</v>
      </c>
    </row>
    <row r="44" customFormat="false" ht="18" hidden="false" customHeight="true" outlineLevel="0" collapsed="false">
      <c r="B44" s="5" t="s">
        <v>54</v>
      </c>
      <c r="C44" s="5"/>
      <c r="D44" s="5"/>
      <c r="E44" s="5"/>
      <c r="F44" s="5"/>
      <c r="G44" s="5"/>
      <c r="H44" s="5"/>
    </row>
    <row r="45" customFormat="false" ht="15" hidden="false" customHeight="false" outlineLevel="0" collapsed="false">
      <c r="B45" s="3" t="s">
        <v>55</v>
      </c>
      <c r="C45" s="10" t="n">
        <v>500000</v>
      </c>
    </row>
    <row r="46" customFormat="false" ht="15" hidden="false" customHeight="false" outlineLevel="0" collapsed="false">
      <c r="B46" s="3" t="s">
        <v>56</v>
      </c>
      <c r="C46" s="10" t="n">
        <v>8000000</v>
      </c>
    </row>
    <row r="47" customFormat="false" ht="15" hidden="false" customHeight="false" outlineLevel="0" collapsed="false">
      <c r="B47" s="3" t="s">
        <v>57</v>
      </c>
      <c r="C47" s="10" t="n">
        <v>200000</v>
      </c>
    </row>
    <row r="48" customFormat="false" ht="15" hidden="false" customHeight="false" outlineLevel="0" collapsed="false">
      <c r="B48" s="3" t="s">
        <v>58</v>
      </c>
      <c r="C48" s="10" t="n">
        <v>1200000</v>
      </c>
    </row>
    <row r="49" customFormat="false" ht="15" hidden="false" customHeight="false" outlineLevel="0" collapsed="false">
      <c r="B49" s="3" t="s">
        <v>59</v>
      </c>
      <c r="C49" s="10" t="n">
        <v>5000000</v>
      </c>
    </row>
    <row r="50" customFormat="false" ht="15" hidden="false" customHeight="false" outlineLevel="0" collapsed="false">
      <c r="B50" s="3" t="s">
        <v>60</v>
      </c>
      <c r="C50" s="10" t="n">
        <v>2000000</v>
      </c>
    </row>
    <row r="51" customFormat="false" ht="15" hidden="false" customHeight="false" outlineLevel="0" collapsed="false">
      <c r="B51" s="3" t="s">
        <v>61</v>
      </c>
      <c r="C51" s="10" t="n">
        <v>1500000</v>
      </c>
    </row>
    <row r="52" customFormat="false" ht="15" hidden="false" customHeight="false" outlineLevel="0" collapsed="false">
      <c r="B52" s="3" t="s">
        <v>62</v>
      </c>
      <c r="C52" s="10" t="n">
        <v>1500000</v>
      </c>
    </row>
    <row r="53" customFormat="false" ht="15" hidden="false" customHeight="false" outlineLevel="0" collapsed="false">
      <c r="B53" s="3" t="s">
        <v>63</v>
      </c>
      <c r="C53" s="10" t="n">
        <v>2000000</v>
      </c>
    </row>
    <row r="55" customFormat="false" ht="18" hidden="false" customHeight="true" outlineLevel="0" collapsed="false">
      <c r="B55" s="14" t="s">
        <v>64</v>
      </c>
      <c r="C55" s="14"/>
      <c r="D55" s="14"/>
      <c r="E55" s="14"/>
      <c r="F55" s="14"/>
      <c r="G55" s="14"/>
      <c r="H55" s="14"/>
    </row>
    <row r="56" customFormat="false" ht="15" hidden="false" customHeight="false" outlineLevel="0" collapsed="false">
      <c r="B56" s="3" t="s">
        <v>65</v>
      </c>
      <c r="C56" s="12" t="n">
        <v>0.4</v>
      </c>
    </row>
    <row r="57" customFormat="false" ht="15" hidden="false" customHeight="false" outlineLevel="0" collapsed="false">
      <c r="B57" s="3" t="s">
        <v>66</v>
      </c>
      <c r="C57" s="7" t="n">
        <v>96600000</v>
      </c>
      <c r="H57" s="8" t="s">
        <v>67</v>
      </c>
    </row>
    <row r="58" customFormat="false" ht="15" hidden="false" customHeight="false" outlineLevel="0" collapsed="false">
      <c r="B58" s="3" t="s">
        <v>68</v>
      </c>
      <c r="C58" s="13" t="n">
        <v>0</v>
      </c>
      <c r="H58" s="8" t="s">
        <v>69</v>
      </c>
    </row>
    <row r="59" customFormat="false" ht="15" hidden="false" customHeight="false" outlineLevel="0" collapsed="false">
      <c r="B59" s="3" t="s">
        <v>70</v>
      </c>
      <c r="C59" s="6" t="n">
        <v>12</v>
      </c>
      <c r="H59" s="8" t="s">
        <v>71</v>
      </c>
    </row>
  </sheetData>
  <mergeCells count="8">
    <mergeCell ref="B5:H5"/>
    <mergeCell ref="B10:H10"/>
    <mergeCell ref="B16:H16"/>
    <mergeCell ref="B22:H22"/>
    <mergeCell ref="B30:H30"/>
    <mergeCell ref="B36:H36"/>
    <mergeCell ref="B44:H44"/>
    <mergeCell ref="B55:H5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42"/>
    <col collapsed="false" customWidth="true" hidden="false" outlineLevel="0" max="9" min="3" style="0" width="15"/>
  </cols>
  <sheetData>
    <row r="1" customFormat="false" ht="6" hidden="false" customHeight="true" outlineLevel="0" collapsed="false"/>
    <row r="2" customFormat="false" ht="22.05" hidden="false" customHeight="false" outlineLevel="0" collapsed="false">
      <c r="B2" s="1" t="s">
        <v>72</v>
      </c>
    </row>
    <row r="3" customFormat="false" ht="15" hidden="false" customHeight="false" outlineLevel="0" collapsed="false">
      <c r="B3" s="2" t="s">
        <v>73</v>
      </c>
    </row>
    <row r="5" customFormat="false" ht="15" hidden="false" customHeight="false" outlineLevel="0" collapsed="false">
      <c r="B5" s="15" t="s">
        <v>74</v>
      </c>
      <c r="C5" s="15" t="s">
        <v>75</v>
      </c>
      <c r="D5" s="15" t="s">
        <v>76</v>
      </c>
    </row>
    <row r="6" customFormat="false" ht="15" hidden="false" customHeight="false" outlineLevel="0" collapsed="false">
      <c r="B6" s="3" t="s">
        <v>77</v>
      </c>
      <c r="C6" s="16" t="n">
        <f aca="false">Assumptions!$C$45*Assumptions!$C$11</f>
        <v>10000000</v>
      </c>
      <c r="D6" s="17" t="n">
        <f aca="false">C6/$C$15</f>
        <v>0.263157894736842</v>
      </c>
    </row>
    <row r="7" customFormat="false" ht="15" hidden="false" customHeight="false" outlineLevel="0" collapsed="false">
      <c r="B7" s="3" t="s">
        <v>56</v>
      </c>
      <c r="C7" s="16" t="n">
        <f aca="false">Assumptions!$C$46</f>
        <v>8000000</v>
      </c>
      <c r="D7" s="17" t="n">
        <f aca="false">C7/$C$15</f>
        <v>0.210526315789474</v>
      </c>
    </row>
    <row r="8" customFormat="false" ht="15" hidden="false" customHeight="false" outlineLevel="0" collapsed="false">
      <c r="B8" s="3" t="s">
        <v>78</v>
      </c>
      <c r="C8" s="16" t="n">
        <f aca="false">Assumptions!$C$47*Assumptions!$C$17</f>
        <v>2000000</v>
      </c>
      <c r="D8" s="17" t="n">
        <f aca="false">C8/$C$15</f>
        <v>0.0526315789473684</v>
      </c>
    </row>
    <row r="9" customFormat="false" ht="15" hidden="false" customHeight="false" outlineLevel="0" collapsed="false">
      <c r="B9" s="3" t="s">
        <v>79</v>
      </c>
      <c r="C9" s="16" t="n">
        <f aca="false">Assumptions!$C$48*Assumptions!$C$23</f>
        <v>6000000</v>
      </c>
      <c r="D9" s="17" t="n">
        <f aca="false">C9/$C$15</f>
        <v>0.157894736842105</v>
      </c>
    </row>
    <row r="10" customFormat="false" ht="15" hidden="false" customHeight="false" outlineLevel="0" collapsed="false">
      <c r="B10" s="3" t="s">
        <v>59</v>
      </c>
      <c r="C10" s="16" t="n">
        <f aca="false">Assumptions!$C$49</f>
        <v>5000000</v>
      </c>
      <c r="D10" s="17" t="n">
        <f aca="false">C10/$C$15</f>
        <v>0.131578947368421</v>
      </c>
    </row>
    <row r="11" customFormat="false" ht="15" hidden="false" customHeight="false" outlineLevel="0" collapsed="false">
      <c r="B11" s="3" t="s">
        <v>60</v>
      </c>
      <c r="C11" s="16" t="n">
        <f aca="false">Assumptions!$C$50</f>
        <v>2000000</v>
      </c>
      <c r="D11" s="17" t="n">
        <f aca="false">C11/$C$15</f>
        <v>0.0526315789473684</v>
      </c>
    </row>
    <row r="12" customFormat="false" ht="15" hidden="false" customHeight="false" outlineLevel="0" collapsed="false">
      <c r="B12" s="3" t="s">
        <v>61</v>
      </c>
      <c r="C12" s="16" t="n">
        <f aca="false">Assumptions!$C$51</f>
        <v>1500000</v>
      </c>
      <c r="D12" s="17" t="n">
        <f aca="false">C12/$C$15</f>
        <v>0.0394736842105263</v>
      </c>
    </row>
    <row r="13" customFormat="false" ht="15" hidden="false" customHeight="false" outlineLevel="0" collapsed="false">
      <c r="B13" s="3" t="s">
        <v>62</v>
      </c>
      <c r="C13" s="16" t="n">
        <f aca="false">Assumptions!$C$52</f>
        <v>1500000</v>
      </c>
      <c r="D13" s="17" t="n">
        <f aca="false">C13/$C$15</f>
        <v>0.0394736842105263</v>
      </c>
    </row>
    <row r="14" customFormat="false" ht="15" hidden="false" customHeight="false" outlineLevel="0" collapsed="false">
      <c r="B14" s="3" t="s">
        <v>63</v>
      </c>
      <c r="C14" s="16" t="n">
        <f aca="false">Assumptions!$C$53</f>
        <v>2000000</v>
      </c>
      <c r="D14" s="17" t="n">
        <f aca="false">C14/$C$15</f>
        <v>0.0526315789473684</v>
      </c>
    </row>
    <row r="15" customFormat="false" ht="15" hidden="false" customHeight="false" outlineLevel="0" collapsed="false">
      <c r="B15" s="18" t="s">
        <v>80</v>
      </c>
      <c r="C15" s="19" t="n">
        <f aca="false">SUM(C6:C14)</f>
        <v>38000000</v>
      </c>
      <c r="D15" s="20" t="n">
        <v>1</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42"/>
    <col collapsed="false" customWidth="true" hidden="false" outlineLevel="0" max="9" min="3" style="0" width="15"/>
  </cols>
  <sheetData>
    <row r="1" customFormat="false" ht="6" hidden="false" customHeight="true" outlineLevel="0" collapsed="false"/>
    <row r="2" customFormat="false" ht="22.05" hidden="false" customHeight="false" outlineLevel="0" collapsed="false">
      <c r="B2" s="1" t="s">
        <v>81</v>
      </c>
    </row>
    <row r="3" customFormat="false" ht="15" hidden="false" customHeight="false" outlineLevel="0" collapsed="false">
      <c r="B3" s="2" t="s">
        <v>82</v>
      </c>
    </row>
    <row r="5" customFormat="false" ht="15.75" hidden="false" customHeight="true" outlineLevel="0" collapsed="false">
      <c r="B5" s="4" t="s">
        <v>28</v>
      </c>
      <c r="C5" s="11" t="s">
        <v>29</v>
      </c>
      <c r="D5" s="11" t="s">
        <v>30</v>
      </c>
      <c r="E5" s="11" t="s">
        <v>31</v>
      </c>
      <c r="F5" s="11" t="s">
        <v>32</v>
      </c>
      <c r="G5" s="11" t="s">
        <v>33</v>
      </c>
      <c r="H5" s="4" t="s">
        <v>34</v>
      </c>
    </row>
    <row r="6" customFormat="false" ht="18" hidden="false" customHeight="true" outlineLevel="0" collapsed="false">
      <c r="B6" s="5" t="s">
        <v>83</v>
      </c>
      <c r="C6" s="5"/>
      <c r="D6" s="5"/>
      <c r="E6" s="5"/>
      <c r="F6" s="5"/>
      <c r="G6" s="5"/>
      <c r="H6" s="5"/>
    </row>
    <row r="7" customFormat="false" ht="15" hidden="false" customHeight="false" outlineLevel="0" collapsed="false">
      <c r="B7" s="21" t="s">
        <v>84</v>
      </c>
      <c r="C7" s="16" t="n">
        <f aca="false">Assumptions!$C$11*Assumptions!$C$14*Assumptions!$C$12*365</f>
        <v>6132000</v>
      </c>
      <c r="D7" s="16" t="n">
        <f aca="false">Assumptions!$C$11*Assumptions!$D$14*Assumptions!$C$12*365</f>
        <v>9198000</v>
      </c>
      <c r="E7" s="16" t="n">
        <f aca="false">Assumptions!$C$11*Assumptions!$E$14*Assumptions!$C$12*365</f>
        <v>11242000</v>
      </c>
      <c r="F7" s="16" t="n">
        <f aca="false">Assumptions!$C$11*Assumptions!$F$14*Assumptions!$C$12*365</f>
        <v>12264000</v>
      </c>
      <c r="G7" s="16" t="n">
        <f aca="false">Assumptions!$C$11*Assumptions!$G$14*Assumptions!$C$12*365</f>
        <v>12672800</v>
      </c>
    </row>
    <row r="8" customFormat="false" ht="15" hidden="false" customHeight="false" outlineLevel="0" collapsed="false">
      <c r="B8" s="21" t="s">
        <v>85</v>
      </c>
      <c r="C8" s="16" t="n">
        <f aca="false">Assumptions!$C$17*Assumptions!$C$20*Assumptions!$C$18*365</f>
        <v>657000</v>
      </c>
      <c r="D8" s="16" t="n">
        <f aca="false">Assumptions!$C$17*Assumptions!$D$20*Assumptions!$C$18*365</f>
        <v>1149750</v>
      </c>
      <c r="E8" s="16" t="n">
        <f aca="false">Assumptions!$C$17*Assumptions!$E$20*Assumptions!$C$18*365</f>
        <v>1478250</v>
      </c>
      <c r="F8" s="16" t="n">
        <f aca="false">Assumptions!$C$17*Assumptions!$F$20*Assumptions!$C$18*365</f>
        <v>1642500</v>
      </c>
      <c r="G8" s="16" t="n">
        <f aca="false">Assumptions!$C$17*Assumptions!$G$20*Assumptions!$C$18*365</f>
        <v>1708200</v>
      </c>
    </row>
    <row r="9" customFormat="false" ht="15" hidden="false" customHeight="false" outlineLevel="0" collapsed="false">
      <c r="B9" s="21" t="s">
        <v>86</v>
      </c>
      <c r="C9" s="16" t="n">
        <f aca="false">Assumptions!$C$23*Assumptions!$C$28*Assumptions!$C$24*Assumptions!$C$25*365</f>
        <v>2044000</v>
      </c>
      <c r="D9" s="16" t="n">
        <f aca="false">Assumptions!$C$23*Assumptions!$D$28*Assumptions!$C$24*Assumptions!$C$25*365</f>
        <v>3577000</v>
      </c>
      <c r="E9" s="16" t="n">
        <f aca="false">Assumptions!$C$23*Assumptions!$E$28*Assumptions!$C$24*Assumptions!$C$25*365</f>
        <v>5110000</v>
      </c>
      <c r="F9" s="16" t="n">
        <f aca="false">Assumptions!$C$23*Assumptions!$F$28*Assumptions!$C$24*Assumptions!$C$25*365</f>
        <v>5621000</v>
      </c>
      <c r="G9" s="16" t="n">
        <f aca="false">Assumptions!$C$23*Assumptions!$G$28*Assumptions!$C$24*Assumptions!$C$25*365</f>
        <v>6132000</v>
      </c>
    </row>
    <row r="10" customFormat="false" ht="15" hidden="false" customHeight="false" outlineLevel="0" collapsed="false">
      <c r="B10" s="21" t="s">
        <v>87</v>
      </c>
      <c r="C10" s="16" t="n">
        <f aca="false">Assumptions!$C$34*Assumptions!$C$31*365</f>
        <v>7665000</v>
      </c>
      <c r="D10" s="16" t="n">
        <f aca="false">Assumptions!$D$34*Assumptions!$C$31*365</f>
        <v>12775000</v>
      </c>
      <c r="E10" s="16" t="n">
        <f aca="false">Assumptions!$E$34*Assumptions!$C$31*365</f>
        <v>17885000</v>
      </c>
      <c r="F10" s="16" t="n">
        <f aca="false">Assumptions!$F$34*Assumptions!$C$31*365</f>
        <v>19162500</v>
      </c>
      <c r="G10" s="16" t="n">
        <f aca="false">Assumptions!$G$34*Assumptions!$C$31*365</f>
        <v>19801250</v>
      </c>
    </row>
    <row r="11" customFormat="false" ht="15" hidden="false" customHeight="false" outlineLevel="0" collapsed="false">
      <c r="B11" s="18" t="s">
        <v>88</v>
      </c>
      <c r="C11" s="19" t="n">
        <f aca="false">SUM(C7:C10)</f>
        <v>16498000</v>
      </c>
      <c r="D11" s="19" t="n">
        <f aca="false">SUM(D7:D10)</f>
        <v>26699750</v>
      </c>
      <c r="E11" s="19" t="n">
        <f aca="false">SUM(E7:E10)</f>
        <v>35715250</v>
      </c>
      <c r="F11" s="19" t="n">
        <f aca="false">SUM(F7:F10)</f>
        <v>38690000</v>
      </c>
      <c r="G11" s="19" t="n">
        <f aca="false">SUM(G7:G10)</f>
        <v>40314250</v>
      </c>
    </row>
    <row r="13" customFormat="false" ht="18" hidden="false" customHeight="true" outlineLevel="0" collapsed="false">
      <c r="B13" s="5" t="s">
        <v>89</v>
      </c>
      <c r="C13" s="5"/>
      <c r="D13" s="5"/>
      <c r="E13" s="5"/>
      <c r="F13" s="5"/>
      <c r="G13" s="5"/>
      <c r="H13" s="5"/>
    </row>
    <row r="14" customFormat="false" ht="15" hidden="false" customHeight="false" outlineLevel="0" collapsed="false">
      <c r="B14" s="21" t="s">
        <v>90</v>
      </c>
      <c r="C14" s="16" t="n">
        <f aca="false">Assumptions!$C$6*Assumptions!$C$7</f>
        <v>168000</v>
      </c>
      <c r="D14" s="16" t="n">
        <f aca="false">Assumptions!$C$6*Assumptions!$C$7</f>
        <v>168000</v>
      </c>
      <c r="E14" s="16" t="n">
        <f aca="false">Assumptions!$C$6*Assumptions!$C$7</f>
        <v>168000</v>
      </c>
      <c r="F14" s="16" t="n">
        <f aca="false">Assumptions!$C$6*Assumptions!$C$7</f>
        <v>168000</v>
      </c>
      <c r="G14" s="16" t="n">
        <f aca="false">Assumptions!$C$6*Assumptions!$C$7</f>
        <v>168000</v>
      </c>
    </row>
    <row r="15" customFormat="false" ht="15" hidden="false" customHeight="false" outlineLevel="0" collapsed="false">
      <c r="B15" s="21" t="s">
        <v>49</v>
      </c>
      <c r="C15" s="16" t="n">
        <f aca="false">Assumptions!$C$38</f>
        <v>2232000</v>
      </c>
      <c r="D15" s="16" t="n">
        <f aca="false">Assumptions!$D$38</f>
        <v>2800000</v>
      </c>
      <c r="E15" s="16" t="n">
        <f aca="false">Assumptions!$E$38</f>
        <v>3200000</v>
      </c>
      <c r="F15" s="16" t="n">
        <f aca="false">Assumptions!$F$38</f>
        <v>3400000</v>
      </c>
      <c r="G15" s="16" t="n">
        <f aca="false">Assumptions!$G$38</f>
        <v>3500000</v>
      </c>
    </row>
    <row r="16" customFormat="false" ht="15" hidden="false" customHeight="false" outlineLevel="0" collapsed="false">
      <c r="B16" s="3" t="s">
        <v>91</v>
      </c>
      <c r="C16" s="22" t="n">
        <f aca="false">C10*Assumptions!$C$32</f>
        <v>2452800</v>
      </c>
      <c r="D16" s="22" t="n">
        <f aca="false">D10*Assumptions!$C$32</f>
        <v>4088000</v>
      </c>
      <c r="E16" s="22" t="n">
        <f aca="false">E10*Assumptions!$C$32</f>
        <v>5723200</v>
      </c>
      <c r="F16" s="22" t="n">
        <f aca="false">F10*Assumptions!$C$32</f>
        <v>6132000</v>
      </c>
      <c r="G16" s="22" t="n">
        <f aca="false">G10*Assumptions!$C$32</f>
        <v>6336400</v>
      </c>
    </row>
    <row r="17" customFormat="false" ht="15" hidden="false" customHeight="false" outlineLevel="0" collapsed="false">
      <c r="B17" s="21" t="s">
        <v>92</v>
      </c>
      <c r="C17" s="16" t="n">
        <f aca="false">Assumptions!$C$23*Assumptions!$C$28*Assumptions!$C$24*365*Assumptions!$C$26</f>
        <v>1277500</v>
      </c>
      <c r="D17" s="16" t="n">
        <f aca="false">Assumptions!$C$23*Assumptions!$D$28*Assumptions!$C$24*365*Assumptions!$C$26</f>
        <v>2235625</v>
      </c>
      <c r="E17" s="16" t="n">
        <f aca="false">Assumptions!$C$23*Assumptions!$E$28*Assumptions!$C$24*365*Assumptions!$C$26</f>
        <v>3193750</v>
      </c>
      <c r="F17" s="16" t="n">
        <f aca="false">Assumptions!$C$23*Assumptions!$F$28*Assumptions!$C$24*365*Assumptions!$C$26</f>
        <v>3513125</v>
      </c>
      <c r="G17" s="16" t="n">
        <f aca="false">Assumptions!$C$23*Assumptions!$G$28*Assumptions!$C$24*365*Assumptions!$C$26</f>
        <v>3832500</v>
      </c>
    </row>
    <row r="18" customFormat="false" ht="15" hidden="false" customHeight="false" outlineLevel="0" collapsed="false">
      <c r="B18" s="21" t="s">
        <v>50</v>
      </c>
      <c r="C18" s="16" t="n">
        <f aca="false">Assumptions!$C$39</f>
        <v>800000</v>
      </c>
      <c r="D18" s="16" t="n">
        <f aca="false">Assumptions!$D$39</f>
        <v>950000</v>
      </c>
      <c r="E18" s="16" t="n">
        <f aca="false">Assumptions!$E$39</f>
        <v>1100000</v>
      </c>
      <c r="F18" s="16" t="n">
        <f aca="false">Assumptions!$F$39</f>
        <v>1150000</v>
      </c>
      <c r="G18" s="16" t="n">
        <f aca="false">Assumptions!$G$39</f>
        <v>1200000</v>
      </c>
    </row>
    <row r="19" customFormat="false" ht="15" hidden="false" customHeight="false" outlineLevel="0" collapsed="false">
      <c r="B19" s="21" t="s">
        <v>51</v>
      </c>
      <c r="C19" s="16" t="n">
        <f aca="false">Assumptions!$C$40</f>
        <v>600000</v>
      </c>
      <c r="D19" s="16" t="n">
        <f aca="false">Assumptions!$D$40</f>
        <v>500000</v>
      </c>
      <c r="E19" s="16" t="n">
        <f aca="false">Assumptions!$E$40</f>
        <v>500000</v>
      </c>
      <c r="F19" s="16" t="n">
        <f aca="false">Assumptions!$F$40</f>
        <v>500000</v>
      </c>
      <c r="G19" s="16" t="n">
        <f aca="false">Assumptions!$G$40</f>
        <v>500000</v>
      </c>
    </row>
    <row r="20" customFormat="false" ht="15" hidden="false" customHeight="false" outlineLevel="0" collapsed="false">
      <c r="B20" s="21" t="s">
        <v>52</v>
      </c>
      <c r="C20" s="16" t="n">
        <f aca="false">Assumptions!$C$41</f>
        <v>400000</v>
      </c>
      <c r="D20" s="16" t="n">
        <f aca="false">Assumptions!$D$41</f>
        <v>450000</v>
      </c>
      <c r="E20" s="16" t="n">
        <f aca="false">Assumptions!$E$41</f>
        <v>500000</v>
      </c>
      <c r="F20" s="16" t="n">
        <f aca="false">Assumptions!$F$41</f>
        <v>520000</v>
      </c>
      <c r="G20" s="16" t="n">
        <f aca="false">Assumptions!$G$41</f>
        <v>540000</v>
      </c>
    </row>
    <row r="21" customFormat="false" ht="15" hidden="false" customHeight="false" outlineLevel="0" collapsed="false">
      <c r="B21" s="21" t="s">
        <v>53</v>
      </c>
      <c r="C21" s="16" t="n">
        <f aca="false">Assumptions!$C$42</f>
        <v>500000</v>
      </c>
      <c r="D21" s="16" t="n">
        <f aca="false">Assumptions!$D$42</f>
        <v>600000</v>
      </c>
      <c r="E21" s="16" t="n">
        <f aca="false">Assumptions!$E$42</f>
        <v>700000</v>
      </c>
      <c r="F21" s="16" t="n">
        <f aca="false">Assumptions!$F$42</f>
        <v>750000</v>
      </c>
      <c r="G21" s="16" t="n">
        <f aca="false">Assumptions!$G$42</f>
        <v>800000</v>
      </c>
    </row>
    <row r="22" customFormat="false" ht="15" hidden="false" customHeight="false" outlineLevel="0" collapsed="false">
      <c r="B22" s="18" t="s">
        <v>93</v>
      </c>
      <c r="C22" s="19" t="n">
        <f aca="false">SUM(C14:C21)</f>
        <v>8430300</v>
      </c>
      <c r="D22" s="19" t="n">
        <f aca="false">SUM(D14:D21)</f>
        <v>11791625</v>
      </c>
      <c r="E22" s="19" t="n">
        <f aca="false">SUM(E14:E21)</f>
        <v>15084950</v>
      </c>
      <c r="F22" s="19" t="n">
        <f aca="false">SUM(F14:F21)</f>
        <v>16133125</v>
      </c>
      <c r="G22" s="19" t="n">
        <f aca="false">SUM(G14:G21)</f>
        <v>16876900</v>
      </c>
    </row>
    <row r="24" customFormat="false" ht="15" hidden="false" customHeight="false" outlineLevel="0" collapsed="false">
      <c r="B24" s="23" t="s">
        <v>94</v>
      </c>
      <c r="C24" s="24" t="n">
        <f aca="false">C11-C22</f>
        <v>8067700</v>
      </c>
      <c r="D24" s="24" t="n">
        <f aca="false">D11-D22</f>
        <v>14908125</v>
      </c>
      <c r="E24" s="24" t="n">
        <f aca="false">E11-E22</f>
        <v>20630300</v>
      </c>
      <c r="F24" s="24" t="n">
        <f aca="false">F11-F22</f>
        <v>22556875</v>
      </c>
      <c r="G24" s="24" t="n">
        <f aca="false">G11-G22</f>
        <v>23437350</v>
      </c>
    </row>
  </sheetData>
  <mergeCells count="2">
    <mergeCell ref="B6:H6"/>
    <mergeCell ref="B13:H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42"/>
    <col collapsed="false" customWidth="true" hidden="false" outlineLevel="0" max="9" min="3" style="0" width="15"/>
  </cols>
  <sheetData>
    <row r="1" customFormat="false" ht="6" hidden="false" customHeight="true" outlineLevel="0" collapsed="false"/>
    <row r="2" customFormat="false" ht="22.05" hidden="false" customHeight="false" outlineLevel="0" collapsed="false">
      <c r="B2" s="1" t="s">
        <v>95</v>
      </c>
    </row>
    <row r="3" customFormat="false" ht="15" hidden="false" customHeight="false" outlineLevel="0" collapsed="false">
      <c r="B3" s="2" t="s">
        <v>96</v>
      </c>
    </row>
    <row r="5" customFormat="false" ht="15" hidden="false" customHeight="false" outlineLevel="0" collapsed="false">
      <c r="B5" s="4" t="s">
        <v>97</v>
      </c>
      <c r="C5" s="11" t="s">
        <v>98</v>
      </c>
      <c r="D5" s="11" t="s">
        <v>29</v>
      </c>
      <c r="E5" s="11" t="s">
        <v>30</v>
      </c>
      <c r="F5" s="11" t="s">
        <v>31</v>
      </c>
      <c r="G5" s="11" t="s">
        <v>32</v>
      </c>
      <c r="H5" s="11" t="s">
        <v>33</v>
      </c>
    </row>
    <row r="6" customFormat="false" ht="15" hidden="false" customHeight="false" outlineLevel="0" collapsed="false">
      <c r="B6" s="3" t="s">
        <v>99</v>
      </c>
      <c r="C6" s="16" t="n">
        <f aca="false">-Capex!C15</f>
        <v>-38000000</v>
      </c>
      <c r="D6" s="22" t="n">
        <v>0</v>
      </c>
      <c r="E6" s="22" t="n">
        <v>0</v>
      </c>
      <c r="F6" s="22" t="n">
        <v>0</v>
      </c>
      <c r="G6" s="22" t="n">
        <v>0</v>
      </c>
      <c r="H6" s="22" t="n">
        <v>0</v>
      </c>
    </row>
    <row r="7" customFormat="false" ht="15" hidden="false" customHeight="false" outlineLevel="0" collapsed="false">
      <c r="B7" s="3" t="s">
        <v>100</v>
      </c>
      <c r="C7" s="22" t="n">
        <v>0</v>
      </c>
      <c r="D7" s="16" t="n">
        <f aca="false">'Operating P&amp;L'!C24</f>
        <v>8067700</v>
      </c>
      <c r="E7" s="16" t="n">
        <f aca="false">'Operating P&amp;L'!D24</f>
        <v>14908125</v>
      </c>
      <c r="F7" s="16" t="n">
        <f aca="false">'Operating P&amp;L'!E24</f>
        <v>20630300</v>
      </c>
      <c r="G7" s="16" t="n">
        <f aca="false">'Operating P&amp;L'!F24</f>
        <v>22556875</v>
      </c>
      <c r="H7" s="16" t="n">
        <f aca="false">'Operating P&amp;L'!G24</f>
        <v>23437350</v>
      </c>
    </row>
    <row r="8" customFormat="false" ht="15" hidden="false" customHeight="false" outlineLevel="0" collapsed="false">
      <c r="B8" s="3" t="s">
        <v>101</v>
      </c>
      <c r="C8" s="22" t="n">
        <v>0</v>
      </c>
      <c r="D8" s="22" t="n">
        <v>0</v>
      </c>
      <c r="E8" s="22" t="n">
        <v>0</v>
      </c>
      <c r="F8" s="22" t="n">
        <v>0</v>
      </c>
      <c r="G8" s="22" t="n">
        <v>0</v>
      </c>
      <c r="H8" s="25" t="n">
        <f aca="false">-Assumptions!$C$57+((Assumptions!$C$45*Assumptions!$C$11)*Assumptions!$C$56)+((Assumptions!$C$6*Assumptions!$C$7*5)*Assumptions!$C$58)</f>
        <v>-92600000</v>
      </c>
    </row>
    <row r="9" customFormat="false" ht="15" hidden="false" customHeight="false" outlineLevel="0" collapsed="false">
      <c r="B9" s="26" t="s">
        <v>102</v>
      </c>
      <c r="H9" s="27" t="n">
        <f aca="false">+(Assumptions!$C$45*Assumptions!$C$11)*Assumptions!$C$56</f>
        <v>4000000</v>
      </c>
    </row>
    <row r="10" customFormat="false" ht="15" hidden="false" customHeight="false" outlineLevel="0" collapsed="false">
      <c r="B10" s="26" t="s">
        <v>103</v>
      </c>
      <c r="H10" s="27" t="n">
        <f aca="false">+(Assumptions!$C$6*Assumptions!$C$7*5)*Assumptions!$C$58</f>
        <v>0</v>
      </c>
    </row>
    <row r="11" customFormat="false" ht="15" hidden="false" customHeight="false" outlineLevel="0" collapsed="false">
      <c r="B11" s="26" t="s">
        <v>104</v>
      </c>
      <c r="H11" s="28" t="n">
        <f aca="false">-Assumptions!$C$57</f>
        <v>-96600000</v>
      </c>
    </row>
    <row r="13" customFormat="false" ht="15" hidden="false" customHeight="false" outlineLevel="0" collapsed="false">
      <c r="B13" s="18" t="s">
        <v>105</v>
      </c>
      <c r="C13" s="19" t="n">
        <f aca="false">C6+C7</f>
        <v>-38000000</v>
      </c>
      <c r="D13" s="19" t="n">
        <f aca="false">D6+D7</f>
        <v>8067700</v>
      </c>
      <c r="E13" s="19" t="n">
        <f aca="false">E6+E7</f>
        <v>14908125</v>
      </c>
      <c r="F13" s="19" t="n">
        <f aca="false">F6+F7</f>
        <v>20630300</v>
      </c>
      <c r="G13" s="19" t="n">
        <f aca="false">G6+G7</f>
        <v>22556875</v>
      </c>
      <c r="H13" s="19" t="n">
        <f aca="false">H6+H7+H8</f>
        <v>-69162650</v>
      </c>
    </row>
    <row r="14" customFormat="false" ht="15" hidden="false" customHeight="false" outlineLevel="0" collapsed="false">
      <c r="B14" s="23" t="s">
        <v>106</v>
      </c>
      <c r="C14" s="24" t="n">
        <f aca="false">C13</f>
        <v>-38000000</v>
      </c>
      <c r="D14" s="24" t="n">
        <f aca="false">C14+D13</f>
        <v>-29932300</v>
      </c>
      <c r="E14" s="24" t="n">
        <f aca="false">D14+E13</f>
        <v>-15024175</v>
      </c>
      <c r="F14" s="24" t="n">
        <f aca="false">E14+F13</f>
        <v>5606125</v>
      </c>
      <c r="G14" s="24" t="n">
        <f aca="false">F14+G13</f>
        <v>28163000</v>
      </c>
      <c r="H14" s="24" t="n">
        <f aca="false">G14+H13</f>
        <v>-40999650</v>
      </c>
    </row>
    <row r="16" customFormat="false" ht="27.75" hidden="false" customHeight="true" outlineLevel="0" collapsed="false">
      <c r="B16" s="29" t="s">
        <v>107</v>
      </c>
      <c r="C16" s="29"/>
      <c r="D16" s="29"/>
      <c r="E16" s="29"/>
      <c r="F16" s="29"/>
      <c r="G16" s="29"/>
    </row>
  </sheetData>
  <mergeCells count="1">
    <mergeCell ref="B16:G1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5"/>
    <col collapsed="false" customWidth="true" hidden="false" outlineLevel="0" max="2" min="2" style="0" width="42"/>
    <col collapsed="false" customWidth="true" hidden="false" outlineLevel="0" max="9" min="3" style="0" width="15"/>
  </cols>
  <sheetData>
    <row r="1" customFormat="false" ht="6" hidden="false" customHeight="true" outlineLevel="0" collapsed="false"/>
    <row r="2" customFormat="false" ht="22.05" hidden="false" customHeight="false" outlineLevel="0" collapsed="false">
      <c r="B2" s="1" t="s">
        <v>108</v>
      </c>
    </row>
    <row r="3" customFormat="false" ht="15" hidden="false" customHeight="false" outlineLevel="0" collapsed="false">
      <c r="B3" s="2" t="s">
        <v>109</v>
      </c>
    </row>
    <row r="6" customFormat="false" ht="18" hidden="false" customHeight="true" outlineLevel="0" collapsed="false">
      <c r="B6" s="5" t="s">
        <v>110</v>
      </c>
      <c r="C6" s="5"/>
      <c r="D6" s="5"/>
      <c r="E6" s="5"/>
      <c r="F6" s="5"/>
      <c r="G6" s="5"/>
      <c r="H6" s="5"/>
    </row>
    <row r="7" customFormat="false" ht="15" hidden="false" customHeight="false" outlineLevel="0" collapsed="false">
      <c r="B7" s="3" t="s">
        <v>111</v>
      </c>
      <c r="C7" s="30" t="s">
        <v>112</v>
      </c>
    </row>
    <row r="8" customFormat="false" ht="15" hidden="false" customHeight="false" outlineLevel="0" collapsed="false">
      <c r="B8" s="3" t="s">
        <v>113</v>
      </c>
      <c r="C8" s="16" t="n">
        <f aca="false">Capex!C15</f>
        <v>38000000</v>
      </c>
    </row>
    <row r="9" customFormat="false" ht="15" hidden="false" customHeight="false" outlineLevel="0" collapsed="false">
      <c r="B9" s="3" t="s">
        <v>114</v>
      </c>
      <c r="C9" s="16" t="n">
        <f aca="false">Assumptions!$C$6*Assumptions!$C$7</f>
        <v>168000</v>
      </c>
    </row>
    <row r="10" customFormat="false" ht="15" hidden="false" customHeight="false" outlineLevel="0" collapsed="false">
      <c r="B10" s="3" t="s">
        <v>115</v>
      </c>
      <c r="C10" s="16" t="n">
        <f aca="false">'Operating P&amp;L'!C24</f>
        <v>8067700</v>
      </c>
    </row>
    <row r="11" customFormat="false" ht="15" hidden="false" customHeight="false" outlineLevel="0" collapsed="false">
      <c r="B11" s="3" t="s">
        <v>116</v>
      </c>
      <c r="C11" s="16" t="n">
        <f aca="false">'Operating P&amp;L'!G24</f>
        <v>23437350</v>
      </c>
    </row>
    <row r="12" customFormat="false" ht="15" hidden="false" customHeight="false" outlineLevel="0" collapsed="false">
      <c r="B12" s="3" t="s">
        <v>117</v>
      </c>
      <c r="C12" s="16" t="n">
        <f aca="false">SUM('Operating P&amp;L'!C24:G24)</f>
        <v>89600350</v>
      </c>
    </row>
    <row r="13" customFormat="false" ht="15" hidden="false" customHeight="false" outlineLevel="0" collapsed="false">
      <c r="B13" s="3" t="s">
        <v>118</v>
      </c>
      <c r="C13" s="16" t="n">
        <f aca="false">Assumptions!$C$57</f>
        <v>96600000</v>
      </c>
    </row>
    <row r="14" customFormat="false" ht="15" hidden="false" customHeight="false" outlineLevel="0" collapsed="false">
      <c r="B14" s="3" t="s">
        <v>119</v>
      </c>
      <c r="C14" s="16" t="n">
        <f aca="false">Assumptions!$C$45*Assumptions!$C$11*Assumptions!$C$56</f>
        <v>4000000</v>
      </c>
    </row>
    <row r="15" customFormat="false" ht="15" hidden="false" customHeight="false" outlineLevel="0" collapsed="false">
      <c r="B15" s="3" t="s">
        <v>120</v>
      </c>
      <c r="C15" s="16" t="n">
        <f aca="false">'Cash Flow'!H14</f>
        <v>-40999650</v>
      </c>
    </row>
    <row r="16" customFormat="false" ht="15" hidden="false" customHeight="false" outlineLevel="0" collapsed="false">
      <c r="B16" s="3" t="s">
        <v>70</v>
      </c>
      <c r="C16" s="31" t="n">
        <f aca="false">Assumptions!$C$59</f>
        <v>12</v>
      </c>
    </row>
    <row r="17" customFormat="false" ht="15" hidden="false" customHeight="false" outlineLevel="0" collapsed="false">
      <c r="B17" s="3" t="s">
        <v>121</v>
      </c>
      <c r="C17" s="31" t="n">
        <f aca="false">Assumptions!$C$6-Assumptions!$C$59</f>
        <v>30</v>
      </c>
    </row>
    <row r="19" customFormat="false" ht="18" hidden="false" customHeight="true" outlineLevel="0" collapsed="false">
      <c r="B19" s="5" t="s">
        <v>122</v>
      </c>
      <c r="C19" s="5"/>
      <c r="D19" s="5"/>
      <c r="E19" s="5"/>
      <c r="F19" s="5"/>
      <c r="G19" s="5"/>
      <c r="H19" s="5"/>
    </row>
    <row r="20" customFormat="false" ht="15" hidden="false" customHeight="false" outlineLevel="0" collapsed="false">
      <c r="B20" s="4" t="s">
        <v>97</v>
      </c>
      <c r="C20" s="32" t="str">
        <f aca="false">'Cash Flow'!C5</f>
        <v>Year 0 (capex)</v>
      </c>
      <c r="D20" s="32" t="str">
        <f aca="false">'Cash Flow'!D5</f>
        <v>Year 1</v>
      </c>
      <c r="E20" s="32" t="str">
        <f aca="false">'Cash Flow'!E5</f>
        <v>Year 2</v>
      </c>
      <c r="F20" s="32" t="str">
        <f aca="false">'Cash Flow'!F5</f>
        <v>Year 3</v>
      </c>
      <c r="G20" s="32" t="str">
        <f aca="false">'Cash Flow'!G5</f>
        <v>Year 4</v>
      </c>
      <c r="H20" s="32" t="str">
        <f aca="false">'Cash Flow'!H5</f>
        <v>Year 5</v>
      </c>
    </row>
    <row r="21" customFormat="false" ht="15" hidden="false" customHeight="false" outlineLevel="0" collapsed="false">
      <c r="B21" s="3" t="s">
        <v>105</v>
      </c>
      <c r="C21" s="16" t="n">
        <f aca="false">'Cash Flow'!C13</f>
        <v>-38000000</v>
      </c>
      <c r="D21" s="16" t="n">
        <f aca="false">'Cash Flow'!D13</f>
        <v>8067700</v>
      </c>
      <c r="E21" s="16" t="n">
        <f aca="false">'Cash Flow'!E13</f>
        <v>14908125</v>
      </c>
      <c r="F21" s="16" t="n">
        <f aca="false">'Cash Flow'!F13</f>
        <v>20630300</v>
      </c>
      <c r="G21" s="16" t="n">
        <f aca="false">'Cash Flow'!G13</f>
        <v>22556875</v>
      </c>
      <c r="H21" s="16" t="n">
        <f aca="false">'Cash Flow'!H13</f>
        <v>-69162650</v>
      </c>
    </row>
    <row r="22" customFormat="false" ht="15" hidden="false" customHeight="false" outlineLevel="0" collapsed="false">
      <c r="B22" s="4" t="s">
        <v>106</v>
      </c>
      <c r="C22" s="16" t="n">
        <f aca="false">'Cash Flow'!C14</f>
        <v>-38000000</v>
      </c>
      <c r="D22" s="16" t="n">
        <f aca="false">'Cash Flow'!D14</f>
        <v>-29932300</v>
      </c>
      <c r="E22" s="16" t="n">
        <f aca="false">'Cash Flow'!E14</f>
        <v>-15024175</v>
      </c>
      <c r="F22" s="16" t="n">
        <f aca="false">'Cash Flow'!F14</f>
        <v>5606125</v>
      </c>
      <c r="G22" s="16" t="n">
        <f aca="false">'Cash Flow'!G14</f>
        <v>28163000</v>
      </c>
      <c r="H22" s="16" t="n">
        <f aca="false">'Cash Flow'!H14</f>
        <v>-40999650</v>
      </c>
    </row>
    <row r="46" customFormat="false" ht="27.75" hidden="false" customHeight="true" outlineLevel="0" collapsed="false">
      <c r="B46" s="29" t="s">
        <v>123</v>
      </c>
      <c r="C46" s="29"/>
      <c r="D46" s="29"/>
      <c r="E46" s="29"/>
      <c r="F46" s="29"/>
      <c r="G46" s="29"/>
      <c r="H46" s="29"/>
    </row>
  </sheetData>
  <mergeCells count="3">
    <mergeCell ref="B6:H6"/>
    <mergeCell ref="B19:H19"/>
    <mergeCell ref="B46:H4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2026-09-09T17:21:59Z</dcterms:created>
  <dc:creator>openpyxl</dc:creator>
  <dc:description/>
  <dc:language>en-US</dc:language>
  <cp:lastModifiedBy/>
  <dcterms:modified xsi:type="dcterms:W3CDTF">2026-09-09T17:22:15Z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